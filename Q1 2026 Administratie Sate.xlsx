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a87a19497cfc40/Saté Lounge/BTW Aangifte/2026 - Q2/"/>
    </mc:Choice>
  </mc:AlternateContent>
  <xr:revisionPtr revIDLastSave="193" documentId="8_{992F741B-C201-4F7A-A02E-48A6C477CA17}" xr6:coauthVersionLast="47" xr6:coauthVersionMax="47" xr10:uidLastSave="{18CC5E75-5D93-4D8C-BC33-822343AA7DD6}"/>
  <bookViews>
    <workbookView xWindow="-108" yWindow="-108" windowWidth="23256" windowHeight="13896" xr2:uid="{341DB4BB-388D-49B1-81FC-0768D210987F}"/>
  </bookViews>
  <sheets>
    <sheet name="NL45INGB0107197596_01-01-2026_3" sheetId="1" r:id="rId1"/>
    <sheet name="Contant" sheetId="2" r:id="rId2"/>
  </sheets>
  <definedNames>
    <definedName name="_xlnm._FilterDatabase" localSheetId="0" hidden="1">'NL45INGB0107197596_01-01-2026_3'!$A$1:$L$258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2" i="1" l="1"/>
  <c r="D271" i="1"/>
  <c r="C272" i="1"/>
  <c r="C271" i="1"/>
  <c r="D6" i="2"/>
  <c r="E6" i="2"/>
  <c r="C6" i="2"/>
  <c r="M261" i="1"/>
  <c r="C266" i="1" s="1"/>
  <c r="H269" i="1" l="1"/>
  <c r="I279" i="1"/>
  <c r="J279" i="1" l="1"/>
  <c r="I201" i="1" l="1"/>
  <c r="I181" i="1"/>
  <c r="I166" i="1"/>
  <c r="I161" i="1"/>
  <c r="I147" i="1"/>
  <c r="I11" i="1"/>
  <c r="I160" i="1"/>
  <c r="I192" i="1"/>
  <c r="H153" i="1"/>
  <c r="H238" i="1"/>
  <c r="H189" i="1"/>
  <c r="H138" i="1"/>
  <c r="H121" i="1"/>
  <c r="H252" i="1"/>
  <c r="H224" i="1"/>
  <c r="H223" i="1"/>
  <c r="H222" i="1"/>
  <c r="H217" i="1"/>
  <c r="H197" i="1"/>
  <c r="H169" i="1"/>
  <c r="H162" i="1"/>
  <c r="H155" i="1"/>
  <c r="H137" i="1"/>
  <c r="H131" i="1"/>
  <c r="H127" i="1"/>
  <c r="H123" i="1"/>
  <c r="H107" i="1"/>
  <c r="H97" i="1"/>
  <c r="H90" i="1"/>
  <c r="H71" i="1"/>
  <c r="H69" i="1"/>
  <c r="H65" i="1"/>
  <c r="H40" i="1"/>
  <c r="H37" i="1"/>
  <c r="H34" i="1"/>
  <c r="H24" i="1"/>
  <c r="H20" i="1"/>
  <c r="H5" i="1"/>
  <c r="I257" i="1"/>
  <c r="I254" i="1"/>
  <c r="I251" i="1"/>
  <c r="I250" i="1"/>
  <c r="I246" i="1"/>
  <c r="I245" i="1"/>
  <c r="I244" i="1"/>
  <c r="I243" i="1"/>
  <c r="I241" i="1"/>
  <c r="I239" i="1"/>
  <c r="I236" i="1"/>
  <c r="I233" i="1"/>
  <c r="I230" i="1"/>
  <c r="I229" i="1"/>
  <c r="I228" i="1"/>
  <c r="I220" i="1"/>
  <c r="I218" i="1"/>
  <c r="I216" i="1"/>
  <c r="I215" i="1"/>
  <c r="I211" i="1"/>
  <c r="I207" i="1"/>
  <c r="I206" i="1"/>
  <c r="I204" i="1"/>
  <c r="I202" i="1"/>
  <c r="I199" i="1"/>
  <c r="I194" i="1"/>
  <c r="I193" i="1"/>
  <c r="I188" i="1"/>
  <c r="I183" i="1"/>
  <c r="I180" i="1"/>
  <c r="I179" i="1"/>
  <c r="I167" i="1"/>
  <c r="I163" i="1"/>
  <c r="I158" i="1"/>
  <c r="I157" i="1"/>
  <c r="I152" i="1"/>
  <c r="I150" i="1"/>
  <c r="I149" i="1"/>
  <c r="I145" i="1"/>
  <c r="I144" i="1"/>
  <c r="I143" i="1"/>
  <c r="I142" i="1"/>
  <c r="I136" i="1"/>
  <c r="I132" i="1"/>
  <c r="I130" i="1"/>
  <c r="I126" i="1"/>
  <c r="I125" i="1"/>
  <c r="I120" i="1"/>
  <c r="I118" i="1"/>
  <c r="I117" i="1"/>
  <c r="I116" i="1"/>
  <c r="I115" i="1"/>
  <c r="I114" i="1"/>
  <c r="I113" i="1"/>
  <c r="I112" i="1"/>
  <c r="I111" i="1"/>
  <c r="I110" i="1"/>
  <c r="I106" i="1"/>
  <c r="I100" i="1"/>
  <c r="I99" i="1"/>
  <c r="I96" i="1"/>
  <c r="I91" i="1"/>
  <c r="I89" i="1"/>
  <c r="I87" i="1"/>
  <c r="I86" i="1"/>
  <c r="I83" i="1"/>
  <c r="I82" i="1"/>
  <c r="I81" i="1"/>
  <c r="I70" i="1"/>
  <c r="I63" i="1"/>
  <c r="I62" i="1"/>
  <c r="I57" i="1"/>
  <c r="I55" i="1"/>
  <c r="I54" i="1"/>
  <c r="I51" i="1"/>
  <c r="I50" i="1"/>
  <c r="I47" i="1"/>
  <c r="I46" i="1"/>
  <c r="I45" i="1"/>
  <c r="I44" i="1"/>
  <c r="I42" i="1"/>
  <c r="I41" i="1"/>
  <c r="I38" i="1"/>
  <c r="I33" i="1"/>
  <c r="I30" i="1"/>
  <c r="I28" i="1"/>
  <c r="I27" i="1"/>
  <c r="I22" i="1"/>
  <c r="I16" i="1"/>
  <c r="I14" i="1"/>
  <c r="I13" i="1"/>
  <c r="I10" i="1"/>
  <c r="I4" i="1"/>
  <c r="H258" i="1" l="1"/>
  <c r="C269" i="1" s="1"/>
  <c r="I258" i="1"/>
  <c r="C270" i="1" s="1"/>
  <c r="D270" i="1" s="1"/>
  <c r="C274" i="1" l="1"/>
  <c r="D269" i="1"/>
  <c r="D274" i="1" s="1"/>
  <c r="H268" i="1"/>
  <c r="H270" i="1" l="1"/>
  <c r="C281" i="1"/>
  <c r="I280" i="1"/>
  <c r="I281" i="1" s="1"/>
</calcChain>
</file>

<file path=xl/sharedStrings.xml><?xml version="1.0" encoding="utf-8"?>
<sst xmlns="http://schemas.openxmlformats.org/spreadsheetml/2006/main" count="1693" uniqueCount="384">
  <si>
    <t>Date</t>
  </si>
  <si>
    <t>Name / Description</t>
  </si>
  <si>
    <t>Account</t>
  </si>
  <si>
    <t>Counterparty</t>
  </si>
  <si>
    <t>Code</t>
  </si>
  <si>
    <t>Debit/credit</t>
  </si>
  <si>
    <t>Amount (EUR)</t>
  </si>
  <si>
    <t>Transaction type</t>
  </si>
  <si>
    <t>Notifications</t>
  </si>
  <si>
    <t>Tag</t>
  </si>
  <si>
    <t>MELEDI Rotterdam B.V. Enschede</t>
  </si>
  <si>
    <t>NL45INGB0107197596</t>
  </si>
  <si>
    <t>BA</t>
  </si>
  <si>
    <t>Debit</t>
  </si>
  <si>
    <t>Payment terminal</t>
  </si>
  <si>
    <t>Card sequence no.: 900 31/03/2026 09:15 Transaction: W00183 Term: 52759076 Apple Pay Value date: 31/03/2026</t>
  </si>
  <si>
    <t>SumUp Limited</t>
  </si>
  <si>
    <t>DK6289000000019590</t>
  </si>
  <si>
    <t>OV</t>
  </si>
  <si>
    <t>Credit</t>
  </si>
  <si>
    <t>Transfer</t>
  </si>
  <si>
    <t>Name: SumUp Limited Description: MP6 PID1632503 IBAN: DK6289000000019590 Date/time: 31-03-2026 15:52:25 Value date: 31/03/2026</t>
  </si>
  <si>
    <t>ALBERT HEIJN 1670 ROTTERDAM NLD</t>
  </si>
  <si>
    <t>Card sequence no.: 001 30/03/2026 12:07 Transaction: P00182 Term: BS102658 Value date: 31/03/2026</t>
  </si>
  <si>
    <t>BCK*MARKTHAL ROTTERDAM NLD</t>
  </si>
  <si>
    <t>Card sequence no.: 001 30/03/2026 14:58 Transaction: C00210 Term: BS500026 Value date: 31/03/2026</t>
  </si>
  <si>
    <t>PENSIOENFONDS HORECA CAT</t>
  </si>
  <si>
    <t>NL25ABNA0523407939</t>
  </si>
  <si>
    <t>IC</t>
  </si>
  <si>
    <t>SEPA direct debit</t>
  </si>
  <si>
    <t>Name: PENSIOENFONDS HORECA CAT Description: Notadatum 04-03-2026 premie BR 250601809065-Notadatum 04-03-2026 premie BR 250601809065-- IBAN: NL25ABNA0523407939 Reference: 8-1109225-250601809065-0 Mandate ID: BR-865954045L01-01-01 Creditor ID: NL93ZZZ411525930000 Recurrent SEPA direct debit Value date: 31/03/2026</t>
  </si>
  <si>
    <t>Name: PENSIOENFONDS HORECA CAT Description: Notadatum 04-03-2026 premie BR 240601809065-Notadatum 04-03-2026 premie BR 240601809065-- IBAN: NL25ABNA0523407939 Reference: 8-1109225-240601809065-0 Mandate ID: BR-865954045L01-01-01 Creditor ID: NL93ZZZ411525930000 Recurrent SEPA direct debit Value date: 31/03/2026</t>
  </si>
  <si>
    <t>Name: PENSIOENFONDS HORECA CAT Description: Notadatum 17-03-2026 premie BR 260601849305-Notadatum 17-03-2026 premie BR 260601849305-- IBAN: NL25ABNA0523407939 Reference: 10-1109225-260601849305-0 Mandate ID: BR-865954045L01-01-01 Creditor ID: NL93ZZZ411525930000 Recurrent SEPA direct debit Value date: 31/03/2026</t>
  </si>
  <si>
    <t>Name: SumUp Limited Description: MP6 PID1631222 IBAN: DK6289000000019590 Date/time: 30-03-2026 16:46:22 Value date: 30/03/2026</t>
  </si>
  <si>
    <t>Card sequence no.: 001 29/03/2026 12:34 Transaction: P00181 Term: BS102655 Value date: 30/03/2026</t>
  </si>
  <si>
    <t>Sligro ZB 5010 ROTTERDAM NLD</t>
  </si>
  <si>
    <t>Card sequence no.: 900 28/03/2026 09:06 Transaction: C00209 Term: M30JBD Apple Pay Value date: 28/03/2026</t>
  </si>
  <si>
    <t>Card sequence no.: 900 28/03/2026 08:52 Transaction: P00180 Term: 52759076 Apple Pay Value date: 28/03/2026</t>
  </si>
  <si>
    <t>Card sequence no.: 001 27/03/2026 15:08 Transaction: D00208 Term: BS102652 Value date: 28/03/2026</t>
  </si>
  <si>
    <t>Card sequence no.: 001 27/03/2026 10:11 Transaction: D00207 Term: BS102658 Value date: 28/03/2026</t>
  </si>
  <si>
    <t>Name: SumUp Limited Description: MP6 PID1627630 IBAN: DK6289000000019590 Date/time: 27-03-2026 15:49:25 Value date: 27/03/2026</t>
  </si>
  <si>
    <t>Card sequence no.: 001 26/03/2026 16:22 Transaction: C00206 Term: BS102658 Value date: 27/03/2026</t>
  </si>
  <si>
    <t>Kosten Zakelijk Betalingsverkeer</t>
  </si>
  <si>
    <t>DV</t>
  </si>
  <si>
    <t>Various</t>
  </si>
  <si>
    <t>Factuurnr. 2384996507 Betreft IBAN: NL45INGB0107197596 Periode: 01-02-2026 / 28-02-2026 Value date: 27/03/2026</t>
  </si>
  <si>
    <t>Card sequence no.: 900 26/03/2026 08:56 Transaction: C00205 Term: 52759076 Apple Pay Value date: 26/03/2026</t>
  </si>
  <si>
    <t>Name: SumUp Limited Description: MP6 PID1626185 IBAN: DK6289000000019590 Date/time: 26-03-2026 15:33:06 Value date: 26/03/2026</t>
  </si>
  <si>
    <t>horecaontwikkelplatform.nl via Rabo Smart Pay</t>
  </si>
  <si>
    <t>NL29RABO0350803331</t>
  </si>
  <si>
    <t>IW</t>
  </si>
  <si>
    <t>iDEAL | Wero</t>
  </si>
  <si>
    <t>Name: horecaontwikkelplatform.nl via Rabo Smart Pay Description: CXP002783729 0021364751393566 Factuur Horeca Ontwikkel Platform horecaontwikkelplatform.nl IBAN: NL29RABO0350803331 Reference: 26-03-2026 13:31 0021364751393566 Value date: 26/03/2026</t>
  </si>
  <si>
    <t>Name: SumUp Limited Description: MP6 PID1624776 IBAN: DK6289000000019590 Date/time: 25-03-2026 15:38:50 Value date: 25/03/2026</t>
  </si>
  <si>
    <t>Card sequence no.: 001 24/03/2026 09:16 Transaction: W00179 Term: BS102657 Value date: 25/03/2026</t>
  </si>
  <si>
    <t>Name: SumUp Limited Description: MP6 PID1623334 IBAN: DK6289000000019590 Date/time: 24-03-2026 15:30:01 Value date: 24/03/2026</t>
  </si>
  <si>
    <t>Klepierre Markthal B.V.</t>
  </si>
  <si>
    <t>NL07INGB0007269947</t>
  </si>
  <si>
    <t>GT</t>
  </si>
  <si>
    <t>Online Banking</t>
  </si>
  <si>
    <t>Name: Klepierre Markthal B.V. Description: Factuur: 2026500312 IBAN: NL07INGB0007269947 Date/time: 24-03-2026 10:19:52 Value date: 24/03/2026</t>
  </si>
  <si>
    <t>Name: SumUp Limited Description: MP6 PID1622065 IBAN: DK6289000000019590 Date/time: 23-03-2026 16:25:15 Value date: 23/03/2026</t>
  </si>
  <si>
    <t>Card sequence no.: 900 23/03/2026 09:15 Transaction: C00204 Term: 52759076 Apple Pay Value date: 23/03/2026</t>
  </si>
  <si>
    <t>Card sequence no.: 001 21/03/2026 12:16 Transaction: W00178 Term: BS102661 Value date: 22/03/2026</t>
  </si>
  <si>
    <t>Card sequence no.: 001 21/03/2026 11:57 Transaction: W00177 Term: BS102652 Value date: 22/03/2026</t>
  </si>
  <si>
    <t>Name: SumUp Limited Description: MP6 PID1594937 IBAN: DK6289000000019590 Date/time: 20-03-2026 16:33:42 Value date: 20/03/2026</t>
  </si>
  <si>
    <t>Card sequence no.: 001 19/03/2026 11:33 Transaction: C00203 Term: BS189410 Value date: 20/03/2026</t>
  </si>
  <si>
    <t>Card sequence no.: 900 19/03/2026 08:52 Transaction: P00176 Term: 52759076 Apple Pay Value date: 19/03/2026</t>
  </si>
  <si>
    <t>Name: SumUp Limited Description: MP6 PID1590645 IBAN: DK6289000000019590 Date/time: 19-03-2026 16:33:02 Value date: 19/03/2026</t>
  </si>
  <si>
    <t>Card sequence no.: 001 18/03/2026 09:08 Transaction: C00202 Term: BS102658 Value date: 19/03/2026</t>
  </si>
  <si>
    <t>ODIDO NETHERLANDS B.V.</t>
  </si>
  <si>
    <t>NL12COBA0733959555</t>
  </si>
  <si>
    <t>Name: ODIDO NETHERLANDS B.V. Description: Factuurnummer 901622896123 IBAN: NL12COBA0733959555 Reference: 500739241814 Mandate ID: 1.22430887 Creditor ID: NL93ZZZ332656790051 Recurrent SEPA direct debit Value date: 19/03/2026</t>
  </si>
  <si>
    <t>Name: SumUp Limited Description: MP6 PID1589203 IBAN: DK6289000000019590 Date/time: 18-03-2026 16:24:53 Value date: 18/03/2026</t>
  </si>
  <si>
    <t>BCK*South American Foo Rotterdam</t>
  </si>
  <si>
    <t>Card sequence no.: 900 17/03/2026 12:17 Transaction: P00173 Term: 80012945 Apple Pay Value date: 18/03/2026</t>
  </si>
  <si>
    <t>Card sequence no.: 001 17/03/2026 16:47 Transaction: P00174 Term: BS500028 Value date: 18/03/2026</t>
  </si>
  <si>
    <t>Card sequence no.: 001 17/03/2026 19:18 Transaction: P00175 Term: BS189412 Value date: 18/03/2026</t>
  </si>
  <si>
    <t>Name: SumUp Limited Description: MP6 PID1587808 IBAN: DK6289000000019590 Date/time: 17-03-2026 16:20:16 Value date: 17/03/2026</t>
  </si>
  <si>
    <t>Card sequence no.: 001 16/03/2026 15:47 Transaction: P00172 Term: BS500028 Value date: 17/03/2026</t>
  </si>
  <si>
    <t>Card sequence no.: 001 16/03/2026 15:49 Transaction: C00201 Term: BS189412 Value date: 17/03/2026</t>
  </si>
  <si>
    <t>Card sequence no.: 001 16/03/2026 14:30 Transaction: W00171 Term: BS189411 Value date: 17/03/2026</t>
  </si>
  <si>
    <t>Name: SumUp Limited Description: MP6 PID1586467 IBAN: DK6289000000019590 Date/time: 16-03-2026 18:24:18 Value date: 16/03/2026</t>
  </si>
  <si>
    <t>Card sequence no.: 001 15/03/2026 15:08 Transaction: P00170 Term: BS102665 Value date: 16/03/2026</t>
  </si>
  <si>
    <t>Card sequence no.: 001 15/03/2026 12:10 Transaction: C00200 Term: BS102664 Value date: 16/03/2026</t>
  </si>
  <si>
    <t>Card sequence no.: 001 14/03/2026 12:46 Transaction: W00169 Term: BS102654 Value date: 15/03/2026</t>
  </si>
  <si>
    <t>Card sequence no.: 001 14/03/2026 15:06 Transaction: D00199 Term: BS102651 Value date: 15/03/2026</t>
  </si>
  <si>
    <t>Name: SumUp Limited Description: MP6 PID1582837 IBAN: DK6289000000019590 Date/time: 13-03-2026 16:07:14 Value date: 13/03/2026</t>
  </si>
  <si>
    <t>Name: SumUp Limited Description: MP6 PID1581424 IBAN: DK6289000000019590 Date/time: 12-03-2026 15:16:52 Value date: 12/03/2026</t>
  </si>
  <si>
    <t>Card sequence no.: 001 11/03/2026 16:08 Transaction: W00168 Term: BS189410 Value date: 12/03/2026</t>
  </si>
  <si>
    <t>Card sequence no.: 001 11/03/2026 14:43 Transaction: D00198 Term: BS102661 Value date: 12/03/2026</t>
  </si>
  <si>
    <t>Name: SumUp Limited Description: MP6 PID1580053 IBAN: DK6289000000019590 Date/time: 11-03-2026 15:17:59 Value date: 11/03/2026</t>
  </si>
  <si>
    <t>Name: SumUp Limited Description: MP6 PID1578657 IBAN: DK6289000000019590 Date/time: 10-03-2026 16:19:11 Value date: 10/03/2026</t>
  </si>
  <si>
    <t>Card sequence no.: 001 09/03/2026 15:23 Transaction: P00167 Term: BS189412 Value date: 10/03/2026</t>
  </si>
  <si>
    <t>Card sequence no.: 001 09/03/2026 15:16 Transaction: P00166 Term: BS102656 Value date: 10/03/2026</t>
  </si>
  <si>
    <t>Name: SumUp Limited Description: MP6 PID1577357 IBAN: DK6289000000019590 Date/time: 09-03-2026 17:13:03 Value date: 09/03/2026</t>
  </si>
  <si>
    <t>Card sequence no.: 001 08/03/2026 12:33 Transaction: C00197 Term: BS102655 Value date: 09/03/2026</t>
  </si>
  <si>
    <t>Card sequence no.: 900 07/03/2026 09:02 Transaction: W00165 Term: 52759076 Apple Pay Value date: 07/03/2026</t>
  </si>
  <si>
    <t>Belastingdienst</t>
  </si>
  <si>
    <t>NL86INGB0002445588</t>
  </si>
  <si>
    <t>Name: Belastingdienst Description: 9865954046601020 IBAN: NL86INGB0002445588 Value date: 07/03/2026</t>
  </si>
  <si>
    <t>Name: SumUp Limited Description: MP6 PID1573534 IBAN: DK6289000000019590 Date/time: 06-03-2026 15:20:10 Value date: 06/03/2026</t>
  </si>
  <si>
    <t>Name: SumUp Limited Description: MP6 PID1572121 IBAN: DK6289000000019590 Date/time: 05-03-2026 16:25:57 Value date: 05/03/2026</t>
  </si>
  <si>
    <t>Harvest Coffee Brewers ROTTERDAM</t>
  </si>
  <si>
    <t>Card sequence no.: 900 05/03/2026 12:00 Transaction: D00196 Term: 7K6B1T Apple Pay Value date: 05/03/2026</t>
  </si>
  <si>
    <t>Card sequence no.: 001 04/03/2026 12:34 Transaction: W00164 Term: BS102656 Value date: 05/03/2026</t>
  </si>
  <si>
    <t>Name: SumUp Limited Description: MP6 PID1570672 IBAN: DK6289000000019590 Date/time: 04-03-2026 16:26:42 Value date: 04/03/2026</t>
  </si>
  <si>
    <t>Name: Klepierre Markthal B.V. Description: Factuur: 2026500220 IBAN: NL07INGB0007269947 Date/time: 04-03-2026 13:14:04 Value date: 04/03/2026</t>
  </si>
  <si>
    <t>PRIMARK NETHERLANDS B.V.</t>
  </si>
  <si>
    <t>NL61BNPA0227763491</t>
  </si>
  <si>
    <t>Name: PRIMARK NETHERLANDS B.V. IBAN: NL61BNPA0227763491 Reference: 3000001695 Value date: 04/03/2026</t>
  </si>
  <si>
    <t>MELEDI Delft B.V. Enschede NLD</t>
  </si>
  <si>
    <t>Card sequence no.: 900 03/03/2026 11:59 Transaction: C00195 Term: 52759061 Apple Pay Value date: 03/03/2026</t>
  </si>
  <si>
    <t>Name: SumUp Limited Description: MP6 PID1569217 IBAN: DK6289000000019590 Date/time: 03-03-2026 16:11:58 Value date: 03/03/2026</t>
  </si>
  <si>
    <t>Card sequence no.: 001 02/03/2026 15:22 Transaction: D00194 Term: BS500029 Value date: 03/03/2026</t>
  </si>
  <si>
    <t>Card sequence no.: 001 02/03/2026 10:31 Transaction: W00163 Term: BS189411 Value date: 03/03/2026</t>
  </si>
  <si>
    <t>SpotifyAB</t>
  </si>
  <si>
    <t>NL79DEUT7370000670</t>
  </si>
  <si>
    <t>Name: SpotifyAB Description: SpotifyAB P3FE2F7816 IBAN: NL79DEUT7370000670 Reference: PDHC4MS57BWR428Q9P Mandate ID: VTV6WJ27PFZT7CG6 Creditor ID: NL48ZZZ342764500000 Recurrent SEPA direct debit Other party: ADYEN N.V. Value date: 03/03/2026</t>
  </si>
  <si>
    <t>Name: SumUp Limited Description: MP6 PID1567871 IBAN: DK6289000000019590 Date/time: 02-03-2026 17:42:06 Value date: 02/03/2026</t>
  </si>
  <si>
    <t>J MAAT</t>
  </si>
  <si>
    <t>NL19RABO0332057194</t>
  </si>
  <si>
    <t>Name: J MAAT Description: 02 IBAN: NL19RABO0332057194 Reference: SEPA20260302102946-4-1 Date/time: 02-03-2026 13:07:40 Value date: 02/03/2026</t>
  </si>
  <si>
    <t>M CANINI</t>
  </si>
  <si>
    <t>NL26ABNA0145464881</t>
  </si>
  <si>
    <t>Name: M CANINI Description: 02 IBAN: NL26ABNA0145464881 Reference: SEPA20260302102946-7-1 Date/time: 02-03-2026 13:07:40 Value date: 02/03/2026</t>
  </si>
  <si>
    <t>LL YSULAN</t>
  </si>
  <si>
    <t>NL71INGB0113586906</t>
  </si>
  <si>
    <t>Name: LL YSULAN Description: 02 IBAN: NL71INGB0113586906 Reference: SEPA20260302102946-5-1 Date/time: 02-03-2026 13:07:40 Value date: 02/03/2026</t>
  </si>
  <si>
    <t>L BROEDERS</t>
  </si>
  <si>
    <t>NL74INGB0003823495</t>
  </si>
  <si>
    <t>Name: L BROEDERS Description: 02 IBAN: NL74INGB0003823495 Reference: SEPA20260302102946-2-1 Date/time: 02-03-2026 13:07:40 Value date: 02/03/2026</t>
  </si>
  <si>
    <t>S MATHOERA</t>
  </si>
  <si>
    <t>NL75INGB0112166172</t>
  </si>
  <si>
    <t>Name: S MATHOERA Description: 02 IBAN: NL75INGB0112166172 Reference: SEPA20260302102946-1-1 Date/time: 02-03-2026 13:07:40 Value date: 02/03/2026</t>
  </si>
  <si>
    <t>M DE CARVALHO PINHO BARBOSA</t>
  </si>
  <si>
    <t>NL55INGB0108062171</t>
  </si>
  <si>
    <t>Name: M DE CARVALHO PINHO BARBOSA Description: 02 IBAN: NL55INGB0108062171 Reference: SEPA20260302102946-6-1 Date/time: 02-03-2026 13:07:40 Value date: 02/03/2026</t>
  </si>
  <si>
    <t>JR PERSON-SNOEI</t>
  </si>
  <si>
    <t>NL30INGB0688023681</t>
  </si>
  <si>
    <t>Name: JR PERSON-SNOEI Description: 02 IBAN: NL30INGB0688023681 Reference: SEPA20260302102946-8-1 Date/time: 02-03-2026 13:07:40 Value date: 02/03/2026</t>
  </si>
  <si>
    <t>K ITJOEJAREE</t>
  </si>
  <si>
    <t>NL41INGB0103368884</t>
  </si>
  <si>
    <t>Name: K ITJOEJAREE Description: 02 IBAN: NL41INGB0103368884 Reference: SEPA20260302102946-3-1 Date/time: 02-03-2026 13:07:40 Value date: 02/03/2026</t>
  </si>
  <si>
    <t>Card sequence no.: 001 01/03/2026 14:05 Transaction: P00162 Term: BS102652 Value date: 02/03/2026</t>
  </si>
  <si>
    <t>Card sequence no.: 001 28/02/2026 12:18 Transaction: P00160 Term: BS102662 Value date: 01/03/2026</t>
  </si>
  <si>
    <t>Card sequence no.: 001 28/02/2026 18:07 Transaction: P00161 Term: BS102660 Value date: 01/03/2026</t>
  </si>
  <si>
    <t>Name: SumUp Limited Description: MP6 PID1564412 IBAN: DK6289000000019590 Date/time: 27-02-2026 17:00:03 Value date: 27/02/2026</t>
  </si>
  <si>
    <t>Card sequence no.: 900 27/02/2026 09:34 Transaction: W00159 Term: 52759076 Apple Pay Value date: 27/02/2026</t>
  </si>
  <si>
    <t>Card sequence no.: 001 26/02/2026 11:38 Transaction: P00157 Term: BS102652 Value date: 27/02/2026</t>
  </si>
  <si>
    <t>Card sequence no.: 001 26/02/2026 13:18 Transaction: W00158 Term: BS102659 Value date: 27/02/2026</t>
  </si>
  <si>
    <t>Name: SumUp Limited Description: MP6 PID1562943 IBAN: DK6289000000019590 Date/time: 26-02-2026 16:29:54 Value date: 26/02/2026</t>
  </si>
  <si>
    <t>Card sequence no.: 001 25/02/2026 11:27 Transaction: P00156 Term: BS102664 Value date: 26/02/2026</t>
  </si>
  <si>
    <t>Card sequence no.: 001 25/02/2026 15:18 Transaction: C00193 Term: BS500028 Value date: 26/02/2026</t>
  </si>
  <si>
    <t>Card sequence no.: 001 25/02/2026 10:08 Transaction: D00192 Term: BS102659 Value date: 26/02/2026</t>
  </si>
  <si>
    <t>Factuurnr. 2376698772 Betreft IBAN: NL45INGB0107197596 Periode: 01-01-2026 / 31-01-2026 Value date: 26/02/2026</t>
  </si>
  <si>
    <t>Name: SumUp Limited Description: MP6 PID1561567 IBAN: DK6289000000019590 Date/time: 25-02-2026 16:40:37 Value date: 25/02/2026</t>
  </si>
  <si>
    <t>Card sequence no.: 900 24/02/2026 09:28 Transaction: D00191 Term: 52759076 Apple Pay Value date: 24/02/2026</t>
  </si>
  <si>
    <t>Name: SumUp Limited Description: MP6 PID1560218 IBAN: DK6289000000019590 Date/time: 24-02-2026 16:23:44 Value date: 24/02/2026</t>
  </si>
  <si>
    <t>Card sequence no.: 001 23/02/2026 11:04 Transaction: D00190 Term: BS189412 Value date: 24/02/2026</t>
  </si>
  <si>
    <t>One.com Group AB</t>
  </si>
  <si>
    <t>DE75202208000000019190</t>
  </si>
  <si>
    <t>Name: One.com Group AB Description: 769QEDQ 7140436264293281 ONE.COM IBAN: DE75202208000000019190 Reference: 24-02-2026 08:32 7140436264293281 Value date: 24/02/2026</t>
  </si>
  <si>
    <t>Name: SumUp Limited Description: MP6 PID1558953 IBAN: DK6289000000019590 Date/time: 23-02-2026 17:43:16 Value date: 23/02/2026</t>
  </si>
  <si>
    <t>Card sequence no.: 001 21/02/2026 15:28 Transaction: W00155 Term: BS102666 Value date: 22/02/2026</t>
  </si>
  <si>
    <t>Card sequence no.: 001 21/02/2026 10:33 Transaction: C00188 Term: BS102658 Value date: 22/02/2026</t>
  </si>
  <si>
    <t>Card sequence no.: 900 21/02/2026 13:16 Transaction: C00189 Term: 52759076 Apple Pay Value date: 22/02/2026</t>
  </si>
  <si>
    <t>PAY.nl*SAFE2BV ROTTERDAM NLD</t>
  </si>
  <si>
    <t>Card sequence no.: 900 21/02/2026 10:21 Transaction: P00154 Term: 175X72 Apple Pay Value date: 21/02/2026</t>
  </si>
  <si>
    <t>Name: SumUp Limited Description: MP6 PID1555304 IBAN: DK6289000000019590 Date/time: 20-02-2026 15:59:54 Value date: 20/02/2026</t>
  </si>
  <si>
    <t>Card sequence no.: 900 19/02/2026 11:34 Transaction: D00187 Term: 52759076 Apple Pay Value date: 19/02/2026</t>
  </si>
  <si>
    <t>Name: SumUp Limited Description: MP6 PID1553846 IBAN: DK6289000000019590 Date/time: 19-02-2026 15:51:14 Value date: 19/02/2026</t>
  </si>
  <si>
    <t>Card sequence no.: 001 18/02/2026 14:04 Transaction: D00186 Term: BS102651 Value date: 19/02/2026</t>
  </si>
  <si>
    <t>BCK*Markthal ROTTERDAM NLD</t>
  </si>
  <si>
    <t>Card sequence no.: 900 18/02/2026 12:19 Transaction: C00185 Term: BS500028 Apple Pay Value date: 19/02/2026</t>
  </si>
  <si>
    <t>Name: SumUp Limited Description: MP6 PID1552570 IBAN: DK6289000000019590 Date/time: 18-02-2026 16:36:47 Value date: 18/02/2026</t>
  </si>
  <si>
    <t>Name: Belastingdienst Description: 2865954046601010 IBAN: NL86INGB0002445588 Value date: 18/02/2026</t>
  </si>
  <si>
    <t>Bakkerij Havenaar</t>
  </si>
  <si>
    <t>NL32INGB0695269739</t>
  </si>
  <si>
    <t>Name: Bakkerij Havenaar Description: Factuur: 118733 IBAN: NL32INGB0695269739 Date/time: 17-02-2026 20:35:08 Value date: 17/02/2026</t>
  </si>
  <si>
    <t>Name: Bakkerij Havenaar Description: Factuur: 118258 IBAN: NL32INGB0695269739 Date/time: 17-02-2026 20:35:08 Value date: 17/02/2026</t>
  </si>
  <si>
    <t>Name: Bakkerij Havenaar Description: Factuur: 118005 IBAN: NL32INGB0695269739 Date/time: 17-02-2026 20:35:08 Value date: 17/02/2026</t>
  </si>
  <si>
    <t>Name: Bakkerij Havenaar Description: Factuur: 117842 IBAN: NL32INGB0695269739 Date/time: 17-02-2026 20:35:08 Value date: 17/02/2026</t>
  </si>
  <si>
    <t>Name: Bakkerij Havenaar Description: Factuur: 117720 IBAN: NL32INGB0695269739 Date/time: 17-02-2026 20:35:08 Value date: 17/02/2026</t>
  </si>
  <si>
    <t>Name: Bakkerij Havenaar Description: Factuur: 118108 IBAN: NL32INGB0695269739 Date/time: 17-02-2026 20:35:08 Value date: 17/02/2026</t>
  </si>
  <si>
    <t>Name: Bakkerij Havenaar Description: Factuur: 118582 IBAN: NL32INGB0695269739 Date/time: 17-02-2026 20:35:08 Value date: 17/02/2026</t>
  </si>
  <si>
    <t>Name: Bakkerij Havenaar Description: Factuur: 117933 IBAN: NL32INGB0695269739 Date/time: 17-02-2026 20:35:08 Value date: 17/02/2026</t>
  </si>
  <si>
    <t>Name: Bakkerij Havenaar Description: Factuur: 118415 IBAN: NL32INGB0695269739 Date/time: 17-02-2026 20:35:08 Value date: 17/02/2026</t>
  </si>
  <si>
    <t>Name: SumUp Limited Description: MP6 PID1551460 IBAN: DK6289000000019590 Date/time: 17-02-2026 17:20:03 Value date: 17/02/2026</t>
  </si>
  <si>
    <t>Card sequence no.: 001 16/02/2026 14:22 Transaction: D00183 Term: BS102661 Value date: 17/02/2026</t>
  </si>
  <si>
    <t>BCK*Praxis 2266 Rdam F ROTTERDAM</t>
  </si>
  <si>
    <t>Card sequence no.: 900 16/02/2026 16:30 Transaction: C00184 Term: BS079424 Apple Pay Value date: 17/02/2026</t>
  </si>
  <si>
    <t>Card sequence no.: 900 16/02/2026 16:15 Transaction: P00153 Term: 52759076 Apple Pay Value date: 17/02/2026</t>
  </si>
  <si>
    <t>Name: ODIDO NETHERLANDS B.V. Description: Factuurnummer 901619295148 IBAN: NL12COBA0733959555 Reference: 500234823070 Mandate ID: 1.22430887 Creditor ID: NL93ZZZ332656790051 Recurrent SEPA direct debit Value date: 17/02/2026</t>
  </si>
  <si>
    <t>Name: SumUp Limited Description: MP6 PID1550288 IBAN: DK6289000000019590 Date/time: 16-02-2026 17:55:28 Value date: 16/02/2026</t>
  </si>
  <si>
    <t>Card sequence no.: 001 15/02/2026 12:11 Transaction: P00152 Term: BS189408 Value date: 16/02/2026</t>
  </si>
  <si>
    <t>Card sequence no.: 001 13/02/2026 18:16 Transaction: D00182 Term: BS102651 Value date: 14/02/2026</t>
  </si>
  <si>
    <t>Card sequence no.: 001 13/02/2026 15:41 Transaction: P00151 Term: BS500028 Value date: 14/02/2026</t>
  </si>
  <si>
    <t>Card sequence no.: 900 13/02/2026 14:46 Transaction: D00181 Term: 52759076 Apple Pay Value date: 14/02/2026</t>
  </si>
  <si>
    <t>Name: SumUp Limited Description: MP6 PID1546608 IBAN: DK6289000000019590 Date/time: 13-02-2026 16:00:49 Value date: 13/02/2026</t>
  </si>
  <si>
    <t>Albert Heijn 1670 ROTTERDAM NLD</t>
  </si>
  <si>
    <t>Card sequence no.: 900 12/02/2026 10:00 Transaction: C00179 Term: BS189410 Apple Pay Value date: 13/02/2026</t>
  </si>
  <si>
    <t>Gemeente Rotterdam</t>
  </si>
  <si>
    <t>NL97ABNA0644512113</t>
  </si>
  <si>
    <t>Name: Gemeente Rotterdam Description: 1111308220 IBAN: NL97ABNA0644512113 Date/time: 13-02-2026 15:12:02 Value date: 13/02/2026</t>
  </si>
  <si>
    <t>Card sequence no.: 001 12/02/2026 14:50 Transaction: C00180 Term: BS189410 Value date: 13/02/2026</t>
  </si>
  <si>
    <t>Name: SumUp Limited Description: MP6 PID1545142 IBAN: DK6289000000019590 Date/time: 12-02-2026 16:36:24 Value date: 12/02/2026</t>
  </si>
  <si>
    <t>Card sequence no.: 900 12/02/2026 08:45 Transaction: D00178 Term: 52759076 Apple Pay Value date: 12/02/2026</t>
  </si>
  <si>
    <t>Name: SumUp Limited Description: MP6 PID1543728 IBAN: DK6289000000019590 Date/time: 11-02-2026 17:08:50 Value date: 11/02/2026</t>
  </si>
  <si>
    <t>Card sequence no.: 001 10/02/2026 12:16 Transaction: C00176 Term: BS102661 Value date: 11/02/2026</t>
  </si>
  <si>
    <t>BCK*Praxis 2351 Rdam ROTTERDAM</t>
  </si>
  <si>
    <t>Card sequence no.: 900 10/02/2026 15:36 Transaction: C00177 Term: BS400338 Apple Pay Value date: 11/02/2026</t>
  </si>
  <si>
    <t>Card sequence no.: 900 10/02/2026 09:11 Transaction: C00175 Term: BS079424 Apple Pay Value date: 11/02/2026</t>
  </si>
  <si>
    <t>Name: PRIMARK NETHERLANDS B.V. IBAN: NL61BNPA0227763491 Reference: 3000001618 Value date: 11/02/2026</t>
  </si>
  <si>
    <t>Name: SumUp Limited Description: MP6 PID1542263 IBAN: DK6289000000019590 Date/time: 10-02-2026 17:19:22 Value date: 10/02/2026</t>
  </si>
  <si>
    <t>Card sequence no.: 900 10/02/2026 09:06 Transaction: D00174 Term: 52759076 Apple Pay Value date: 10/02/2026</t>
  </si>
  <si>
    <t>Card sequence no.: 001 09/02/2026 13:15 Transaction: D00173 Term: BS102651 Value date: 10/02/2026</t>
  </si>
  <si>
    <t>Card sequence no.: 001 09/02/2026 12:13 Transaction: D00172 Term: BS189410 Value date: 10/02/2026</t>
  </si>
  <si>
    <t>Card sequence no.: 001 09/02/2026 15:32 Transaction: W00150 Term: BS189411 Value date: 10/02/2026</t>
  </si>
  <si>
    <t>Card sequence no.: 900 09/02/2026 09:42 Transaction: D00171 Term: BS102656 Apple Pay Value date: 10/02/2026</t>
  </si>
  <si>
    <t>Name: SumUp Limited Description: MP6 PID1540934 IBAN: DK6289000000019590 Date/time: 09-02-2026 18:04:01 Value date: 09/02/2026</t>
  </si>
  <si>
    <t>Card sequence no.: 900 09/02/2026 08:36 Transaction: D00170 Term: M30JBD Apple Pay Value date: 09/02/2026</t>
  </si>
  <si>
    <t>Card sequence no.: 900 09/02/2026 08:49 Transaction: W00149 Term: 52759076 Apple Pay Value date: 09/02/2026</t>
  </si>
  <si>
    <t>Card sequence no.: 001 08/02/2026 12:06 Transaction: C00169 Term: BS102665 Value date: 09/02/2026</t>
  </si>
  <si>
    <t>Card sequence no.: 001 07/02/2026 17:29 Transaction: C00168 Term: BS102662 Value date: 08/02/2026</t>
  </si>
  <si>
    <t>Card sequence no.: 900 07/02/2026 10:08 Transaction: P00148 Term: 52759076 Apple Pay Value date: 07/02/2026</t>
  </si>
  <si>
    <t>Card sequence no.: 001 06/02/2026 16:41 Transaction: W00146 Term: BS102652 Value date: 07/02/2026</t>
  </si>
  <si>
    <t>Johans Supermarkt ROTTERDAM NLD</t>
  </si>
  <si>
    <t>Card sequence no.: 900 06/02/2026 17:10 Transaction: P00147 Term: 5GDW1K Apple Pay Value date: 07/02/2026</t>
  </si>
  <si>
    <t>Name: SumUp Limited Description: MP6 PID1537150 IBAN: DK6289000000019590 Date/time: 06-02-2026 16:49:23 Value date: 06/02/2026</t>
  </si>
  <si>
    <t>Stichting Horeca Ontwikkel Platform ST</t>
  </si>
  <si>
    <t>NL45RABO0324628854</t>
  </si>
  <si>
    <t>Name: Stichting Horeca Ontwikkel Platform ST Description: 41439231801 IBAN: NL45RABO0324628854 Date/time: 06-02-2026 09:29:01 Value date: 06/02/2026</t>
  </si>
  <si>
    <t>Name: SumUp Limited Description: MP6 PID1535590 IBAN: DK6289000000019590 Date/time: 05-02-2026 16:21:54 Value date: 05/02/2026</t>
  </si>
  <si>
    <t>Card sequence no.: 001 04/02/2026 13:08 Transaction: C00166 Term: BS149836 Value date: 05/02/2026</t>
  </si>
  <si>
    <t>Card sequence no.: 001 04/02/2026 14:35 Transaction: C00167 Term: BS102652 Value date: 05/02/2026</t>
  </si>
  <si>
    <t>Name: SumUp Limited Description: MP6 PID1534165 IBAN: DK6289000000019590 Date/time: 04-02-2026 16:53:19 Value date: 04/02/2026</t>
  </si>
  <si>
    <t>Card sequence no.: 900 04/02/2026 10:43 Transaction: D00165 Term: 175X72 Apple Pay Value date: 04/02/2026</t>
  </si>
  <si>
    <t>Sligro ZB 5024 ROTTERDAM NLD</t>
  </si>
  <si>
    <t>Card sequence no.: 900 04/02/2026 10:17 Transaction: W00145 Term: 1DKH9S Apple Pay Value date: 04/02/2026</t>
  </si>
  <si>
    <t>Card sequence no.: 001 03/02/2026 14:02 Transaction: C00163 Term: BS500026 Value date: 04/02/2026</t>
  </si>
  <si>
    <t>Card sequence no.: 001 03/02/2026 17:03 Transaction: C00164 Term: BS102656 Value date: 04/02/2026</t>
  </si>
  <si>
    <t>Card sequence no.: 900 03/02/2026 09:32 Transaction: D00162 Term: 52759076 Apple Pay Value date: 03/02/2026</t>
  </si>
  <si>
    <t>Name: SumUp Limited Description: MP6 PID1532688 IBAN: DK6289000000019590 Date/time: 03-02-2026 15:58:14 Value date: 03/02/2026</t>
  </si>
  <si>
    <t>Card sequence no.: 900 03/02/2026 09:40 Transaction: P00144 Term: 791N10 Apple Pay Value date: 03/02/2026</t>
  </si>
  <si>
    <t>Card sequence no.: 001 02/02/2026 11:43 Transaction: D00161 Term: BS149836 Value date: 03/02/2026</t>
  </si>
  <si>
    <t>South American Food Express 2 B.V.</t>
  </si>
  <si>
    <t>NL20INGB0008396950</t>
  </si>
  <si>
    <t>Name: South American Food Express 2 B.V. Description: Factuur: 202601822 IBAN: NL20INGB0008396950 Date/time: 03-02-2026 07:55:54 Value date: 03/02/2026</t>
  </si>
  <si>
    <t>Name: SpotifyAB Description: SpotifyAB P3EECFB391 IBAN: NL79DEUT7370000670 Reference: PH6MBXTHK7RDVWWD3P Mandate ID: VTV6WJ27PFZT7CG6 Creditor ID: NL48ZZZ342764500000 Recurrent SEPA direct debit Other party: ADYEN N.V. Value date: 03/02/2026</t>
  </si>
  <si>
    <t>Name: SumUp Limited Description: MP6 PID1531360 IBAN: DK6289000000019590 Date/time: 02-02-2026 17:28:37 Value date: 02/02/2026</t>
  </si>
  <si>
    <t>Name: K ITJOEJAREE Description: 01 IBAN: NL41INGB0103368884 Reference: SEPA20260202100647-3-1 Value date: 02/02/2026</t>
  </si>
  <si>
    <t>Name: JR PERSON-SNOEI Description: 01 IBAN: NL30INGB0688023681 Reference: SEPA20260202100647-8-1 Value date: 02/02/2026</t>
  </si>
  <si>
    <t>Name: M DE CARVALHO PINHO BARBOSA Description: 01 IBAN: NL55INGB0108062171 Reference: SEPA20260202100647-6-1 Value date: 02/02/2026</t>
  </si>
  <si>
    <t>Name: J MAAT Description: 01 IBAN: NL19RABO0332057194 Reference: SEPA20260202100647-4-1 Value date: 02/02/2026</t>
  </si>
  <si>
    <t>Name: S MATHOERA Description: 01 IBAN: NL75INGB0112166172 Reference: SEPA20260202100647-1-1 Value date: 02/02/2026</t>
  </si>
  <si>
    <t>Name: LL YSULAN Description: 01 IBAN: NL71INGB0113586906 Reference: SEPA20260202100647-5-1 Value date: 02/02/2026</t>
  </si>
  <si>
    <t>Name: L BROEDERS Description: 01 IBAN: NL74INGB0003823495 Reference: SEPA20260202100647-2-1 Value date: 02/02/2026</t>
  </si>
  <si>
    <t>Name: M CANINI Description: 01 IBAN: NL26ABNA0145464881 Reference: SEPA20260202100647-7-1 Value date: 02/02/2026</t>
  </si>
  <si>
    <t>Card sequence no.: 001 31/01/2026 16:58 Transaction: W00143 Term: BS102666 Value date: 01/02/2026</t>
  </si>
  <si>
    <t>Card sequence no.: 001 31/01/2026 13:30 Transaction: D00160 Term: BS127764 Value date: 01/02/2026</t>
  </si>
  <si>
    <t>Card sequence no.: 900 31/01/2026 12:31 Transaction: D00159 Term: M30JBD Apple Pay Value date: 01/02/2026</t>
  </si>
  <si>
    <t>Card sequence no.: 900 31/01/2026 12:18 Transaction: C00158 Term: 52759076 Apple Pay Value date: 01/02/2026</t>
  </si>
  <si>
    <t>Card sequence no.: 001 30/01/2026 16:07 Transaction: P00142 Term: BS149836 Value date: 31/01/2026</t>
  </si>
  <si>
    <t>Name: SumUp Limited Description: MP6 PID1527526 IBAN: DK6289000000019590 Date/time: 30-01-2026 16:36:02 Value date: 30/01/2026</t>
  </si>
  <si>
    <t>Name: PENSIOENFONDS HORECA CAT Description: Notadatum 03-01-2026 premie BR 250601786041-Notadatum 03-01-2026 premi IBAN: NL25ABNA0523407939 Reference: 6-1109225-250601786041-0 Mandate ID: BR-865954045L01-01-01 Creditor ID: NL93ZZZ411525930000 Recurrent SEPA direct debit Value date: 30/01/2026</t>
  </si>
  <si>
    <t>Card sequence no.: 900 29/01/2026 09:18 Transaction: W00141 Term: 52759076 Apple Pay Value date: 29/01/2026</t>
  </si>
  <si>
    <t>Name: SumUp Limited Description: MP6 PID1526011 IBAN: DK6289000000019590 Date/time: 29-01-2026 15:51:26 Value date: 29/01/2026</t>
  </si>
  <si>
    <t>Card sequence no.: 001 28/01/2026 16:23 Transaction: C00157 Term: BS127765 Value date: 29/01/2026</t>
  </si>
  <si>
    <t>Echt Rotterdams B.V.</t>
  </si>
  <si>
    <t>NL03INGB0100189423</t>
  </si>
  <si>
    <t>Name: Echt Rotterdams B.V. Description: Factuur: 2026-0001 IBAN: NL03INGB0100189423 Date/time: 28-01-2026 19:03:59 Value date: 28/01/2026</t>
  </si>
  <si>
    <t>Name: SumUp Limited Description: MP6 PID1524567 IBAN: DK6289000000019590 Date/time: 28-01-2026 16:00:35 Value date: 28/01/2026</t>
  </si>
  <si>
    <t>Name: SumUp Limited Description: MP6 PID1523120 IBAN: DK6289000000019590 Date/time: 27-01-2026 15:58:41 Value date: 27/01/2026</t>
  </si>
  <si>
    <t>Card sequence no.: 900 27/01/2026 08:50 Transaction: W00140 Term: 52759076 Apple Pay Value date: 27/01/2026</t>
  </si>
  <si>
    <t>Card sequence no.: 001 26/01/2026 12:00 Transaction: D00156 Term: BS127765 Value date: 27/01/2026</t>
  </si>
  <si>
    <t>Card sequence no.: 001 26/01/2026 14:28 Transaction: W00139 Term: BS102664 Value date: 27/01/2026</t>
  </si>
  <si>
    <t>Name: SumUp Limited Description: MP6 PID1521851 IBAN: DK6289000000019590 Date/time: 26-01-2026 18:01:18 Value date: 26/01/2026</t>
  </si>
  <si>
    <t>Card sequence no.: 900 26/01/2026 11:22 Transaction: C00155 Term: 52759076 Apple Pay Value date: 26/01/2026</t>
  </si>
  <si>
    <t>Klepierre Management Nederland B.V.</t>
  </si>
  <si>
    <t>Name: Klepierre Management Nederland B.V. Description: Factuur: 2026500146 IBAN: NL07INGB0007269947 Date/time: 26-01-2026 09:52:08 Value date: 26/01/2026</t>
  </si>
  <si>
    <t>Factuurnr. 2367640292 Betreft IBAN: NL45INGB0107197596 Periode: 01-12-2025 / 31-12-2025 Value date: 26/01/2026</t>
  </si>
  <si>
    <t>Card sequence no.: 001 24/01/2026 18:29 Transaction: D00154 Term: BS102654 Value date: 25/01/2026</t>
  </si>
  <si>
    <t>Card sequence no.: 900 24/01/2026 10:06 Transaction: D00153 Term: 52759076 Apple Pay Value date: 24/01/2026</t>
  </si>
  <si>
    <t>Card sequence no.: 900 24/01/2026 10:10 Transaction: W00138 Term: 791N10 Apple Pay Value date: 24/01/2026</t>
  </si>
  <si>
    <t>Card sequence no.: 001 23/01/2026 11:46 Transaction: P00137 Term: BS102666 Value date: 24/01/2026</t>
  </si>
  <si>
    <t>Name: SumUp Limited Description: MP6 PID1517963 IBAN: DK6289000000019590 Date/time: 23-01-2026 15:37:46 Value date: 23/01/2026</t>
  </si>
  <si>
    <t>Card sequence no.: 001 22/01/2026 13:22 Transaction: D00152 Term: BS127763 Value date: 23/01/2026</t>
  </si>
  <si>
    <t>Card sequence no.: 900 22/01/2026 10:24 Transaction: W00136 Term: 52759076 Apple Pay Value date: 22/01/2026</t>
  </si>
  <si>
    <t>Card sequence no.: 001 21/01/2026 15:20 Transaction: P00135 Term: BS102655 Value date: 22/01/2026</t>
  </si>
  <si>
    <t>Card sequence no.: 001 21/01/2026 08:54 Transaction: C00151 Term: BS127765 Value date: 22/01/2026</t>
  </si>
  <si>
    <t>Name: SumUp Limited Description: MP6 PID1516492 IBAN: DK6289000000019590 Date/time: 22-01-2026 16:08:46 Value date: 22/01/2026</t>
  </si>
  <si>
    <t>BNL Hotel Reservations B.V.</t>
  </si>
  <si>
    <t>NL88INGB0007882111</t>
  </si>
  <si>
    <t>Name: BNL Hotel Reservations B.V. Description: 2026-2JAN-AMA IBAN: NL88INGB0007882111 Date/time: 22-01-2026 10:11:07 Value date: 22/01/2026</t>
  </si>
  <si>
    <t>Name: SumUp Limited Description: MP6 PID1515026 IBAN: DK6289000000019590 Date/time: 21-01-2026 15:59:07 Value date: 21/01/2026</t>
  </si>
  <si>
    <t>Card sequence no.: 900 20/01/2026 15:07 Transaction: W00134 Term: BS102651 Apple Pay Value date: 21/01/2026</t>
  </si>
  <si>
    <t>Name: SumUp Limited Description: MP6 PID1513562 IBAN: DK6289000000019590 Date/time: 20-01-2026 16:32:44 Value date: 20/01/2026</t>
  </si>
  <si>
    <t>ING DEPOSIT</t>
  </si>
  <si>
    <t>ST</t>
  </si>
  <si>
    <t>Deposit</t>
  </si>
  <si>
    <t>Geldmaat Keizerswaard 63 812124 CARD SEQUENCE NO. 001 20/01/2026 08:52 TRANSACTION NO. 602008946617 Value date: 20/01/2026</t>
  </si>
  <si>
    <t>Name: SumUp Limited Description: MP6 PID1512160 IBAN: DK6289000000019590 Date/time: 19-01-2026 16:56:44 Value date: 19/01/2026</t>
  </si>
  <si>
    <t>Card sequence no.: 001 18/01/2026 12:17 Transaction: D00150 Term: BS102665 Value date: 19/01/2026</t>
  </si>
  <si>
    <t>Card sequence no.: 900 17/01/2026 13:08 Transaction: P00133 Term: BS102652 Apple Pay Value date: 18/01/2026</t>
  </si>
  <si>
    <t>Name: Stichting Horeca Ontwikkel Platform ST Description: 31439410688 IBAN: NL45RABO0324628854 Date/time: 18-01-2026 15:24:49 Value date: 18/01/2026</t>
  </si>
  <si>
    <t>Card sequence no.: 001 17/01/2026 12:56 Transaction: D00149 Term: BS127765 Value date: 18/01/2026</t>
  </si>
  <si>
    <t>Card sequence no.: 900 17/01/2026 12:02 Transaction: D00148 Term: 52759076 Apple Pay Value date: 18/01/2026</t>
  </si>
  <si>
    <t>Card sequence no.: 001 16/01/2026 13:18 Transaction: P00132 Term: BS102654 Value date: 17/01/2026</t>
  </si>
  <si>
    <t>Name: SumUp Limited Description: MP6 PID1508387 IBAN: DK6289000000019590 Date/time: 16-01-2026 15:49:04 Value date: 16/01/2026</t>
  </si>
  <si>
    <t>Directsocials.nl</t>
  </si>
  <si>
    <t>NL58CITI2032329913</t>
  </si>
  <si>
    <t>ID</t>
  </si>
  <si>
    <t>iDEAL</t>
  </si>
  <si>
    <t>Name: Directsocials.nl Description: V6YPN4B 0220265398401481 DIRECTSOCIALS.NL IBAN: NL58CITI2032329913 Reference: 16-01-2026 15:39 0220265398401481 Value date: 16/01/2026</t>
  </si>
  <si>
    <t>Card sequence no.: 001 15/01/2026 09:58 Transaction: D00147 Term: BS500028 Value date: 16/01/2026</t>
  </si>
  <si>
    <t>Name: ODIDO NETHERLANDS B.V. Description: Factuurnummer 901615694202 IBAN: NL12COBA0733959555 Reference: 501333255956 Mandate ID: 1.22430887 Creditor ID: NL93ZZZ332656790051 Recurrent SEPA direct debit Value date: 16/01/2026</t>
  </si>
  <si>
    <t>Name: SumUp Limited Description: MP6 PID1506921 IBAN: DK6289000000019590 Date/time: 15-01-2026 16:18:39 Value date: 15/01/2026</t>
  </si>
  <si>
    <t>Card sequence no.: 900 15/01/2026 08:59 Transaction: P00131 Term: 52759076 Apple Pay Value date: 15/01/2026</t>
  </si>
  <si>
    <t>Card sequence no.: 001 14/01/2026 00:00 Transaction: B93710 Term: BS102666 Cashback transaction Value date: 15/01/2026</t>
  </si>
  <si>
    <t>Card sequence no.: 001 14/01/2026 09:32 Transaction: P00129 Term: BS102666 Value date: 15/01/2026</t>
  </si>
  <si>
    <t>Card sequence no.: 001 14/01/2026 09:32 Transaction: D00146 Term: BS102666 Value date: 15/01/2026</t>
  </si>
  <si>
    <t>Card sequence no.: 001 14/01/2026 15:40 Transaction: W00130 Term: BS127763 Value date: 15/01/2026</t>
  </si>
  <si>
    <t>Name: South American Food Express 2 B.V. Description: 202537142 IBAN: NL20INGB0008396950 Date/time: 14-01-2026 22:33:58 Value date: 14/01/2026</t>
  </si>
  <si>
    <t>Name: SumUp Limited Description: MP6 PID1505447 IBAN: DK6289000000019590 Date/time: 14-01-2026 16:43:50 Value date: 14/01/2026</t>
  </si>
  <si>
    <t>Card sequence no.: 001 13/01/2026 10:36 Transaction: W00128 Term: BS102664 Value date: 14/01/2026</t>
  </si>
  <si>
    <t>Name: PRIMARK NETHERLANDS B.V. IBAN: NL61BNPA0227763491 Reference: 3000001517 Value date: 14/01/2026</t>
  </si>
  <si>
    <t>Sate Lounge B.V.</t>
  </si>
  <si>
    <t>IE88SUMU99036512519899</t>
  </si>
  <si>
    <t>Name: Sate Lounge B.V. Description: Verzonden via SumUp IBAN: IE88SUMU99036512519899 Reference: 451e96732d174bc0af6f94d51272e650 Date/time: 13-01-2026 15:12:49 Value date: 13/01/2026</t>
  </si>
  <si>
    <t>Card sequence no.: 001 12/01/2026 15:26 Transaction: P00127 Term: BS127763 Value date: 13/01/2026</t>
  </si>
  <si>
    <t>Card sequence no.: 900 12/01/2026 10:16 Transaction: W00126 Term: 52759076 Apple Pay Value date: 12/01/2026</t>
  </si>
  <si>
    <t>Card sequence no.: 900 11/01/2026 13:46 Transaction: W00125 Term: BS079424 Apple Pay Value date: 12/01/2026</t>
  </si>
  <si>
    <t>Card sequence no.: 001 10/01/2026 11:43 Transaction: C00145 Term: BS127765 Value date: 11/01/2026</t>
  </si>
  <si>
    <t>Card sequence no.: 900 10/01/2026 09:17 Transaction: W00124 Term: 52759076 Apple Pay Value date: 10/01/2026</t>
  </si>
  <si>
    <t>Card sequence no.: 001 08/01/2026 13:33 Transaction: D00144 Term: BS149836 Value date: 09/01/2026</t>
  </si>
  <si>
    <t>Card sequence no.: 900 08/01/2026 09:10 Transaction: C00143 Term: 52759076 Apple Pay Value date: 08/01/2026</t>
  </si>
  <si>
    <t>Card sequence no.: 001 07/01/2026 09:01 Transaction: C00142 Term: BS102666 Value date: 08/01/2026</t>
  </si>
  <si>
    <t>Card sequence no.: 001 05/01/2026 12:21 Transaction: D00139 Term: BS127765 Value date: 06/01/2026</t>
  </si>
  <si>
    <t>Card sequence no.: 001 05/01/2026 15:45 Transaction: D00140 Term: BS127765 Value date: 06/01/2026</t>
  </si>
  <si>
    <t>Card sequence no.: 001 05/01/2026 17:34 Transaction: D00141 Term: BS102657 Value date: 06/01/2026</t>
  </si>
  <si>
    <t>Card sequence no.: 900 05/01/2026 09:09 Transaction: W00122 Term: 52759076 Apple Pay Value date: 05/01/2026</t>
  </si>
  <si>
    <t>Card sequence no.: 900 05/01/2026 09:10 Transaction: W00123 Term: 52759076 Apple Pay Value date: 05/01/2026</t>
  </si>
  <si>
    <t>PAYPAL PTE. LTD.</t>
  </si>
  <si>
    <t>DE26512202000071418016</t>
  </si>
  <si>
    <t>Name: PAYPAL PTE. LTD. Description: Sate Lounge IBAN: DE26512202000071418016 Reference: 255447956 Value date: 05/01/2026</t>
  </si>
  <si>
    <t>Card sequence no.: 001 04/01/2026 12:07 Transaction: W00121 Term: BS127765 Value date: 05/01/2026</t>
  </si>
  <si>
    <t>Card sequence no.: 900 04/01/2026 13:37 Transaction: D00138 Term: BS127763 Apple Pay Value date: 05/01/2026</t>
  </si>
  <si>
    <t>Name: SpotifyAB Description: SpotifyAB P3DFD59B32 IBAN: NL79DEUT7370000670 Reference: PXJCNX2VCGB8JKWZ3P Mandate ID: VTV6WJ27PFZT7CG6 Creditor ID: NL48ZZZ342764500000 Recurrent SEPA direct debit Other party: ADYEN N.V. Value date: 05/01/2026</t>
  </si>
  <si>
    <t>Card sequence no.: 900 03/01/2026 16:06 Transaction: W00120 Term: 52759076 Apple Pay Value date: 04/01/2026</t>
  </si>
  <si>
    <t>Card sequence no.: 001 02/01/2026 12:53 Transaction: D00137 Term: BS127764 Value date: 03/01/2026</t>
  </si>
  <si>
    <t>Card sequence no.: 900 02/01/2026 09:50 Transaction: D00136 Term: 52759076 Apple Pay Value date: 02/01/2026</t>
  </si>
  <si>
    <t>Name: PAYPAL PTE. LTD. Description: Sate Lounge IBAN: DE26512202000071418016 Reference: 255379786 Value date: 02/01/2026</t>
  </si>
  <si>
    <t>Albert Heijn 1654 Rotterdam NLD</t>
  </si>
  <si>
    <t>Card sequence no.: 900 31/12/2025 09:28 Transaction: C00135 Term: BS158083 Apple Pay Value date: 01/01/2026</t>
  </si>
  <si>
    <t>BTW 21%</t>
  </si>
  <si>
    <t>BTW 9%</t>
  </si>
  <si>
    <t>Datum</t>
  </si>
  <si>
    <t xml:space="preserve">Waar </t>
  </si>
  <si>
    <t xml:space="preserve">Bedrag </t>
  </si>
  <si>
    <t>Meledi</t>
  </si>
  <si>
    <t>`=</t>
  </si>
  <si>
    <t>Inkomsten Q1</t>
  </si>
  <si>
    <t>Blikjes</t>
  </si>
  <si>
    <t>Primark</t>
  </si>
  <si>
    <t>en Bike Bite</t>
  </si>
  <si>
    <t>Statiegeld</t>
  </si>
  <si>
    <t>Incl BTW</t>
  </si>
  <si>
    <t>Totaal in</t>
  </si>
  <si>
    <t>Uitgaven</t>
  </si>
  <si>
    <t>BTW te ontvangen</t>
  </si>
  <si>
    <t>BTW te betalen</t>
  </si>
  <si>
    <t>Verschil</t>
  </si>
  <si>
    <t>Totaal</t>
  </si>
  <si>
    <t>Salarissen</t>
  </si>
  <si>
    <t>Pensioen</t>
  </si>
  <si>
    <t>Loonbelasting</t>
  </si>
  <si>
    <t>in netto</t>
  </si>
  <si>
    <t>Bankkosten</t>
  </si>
  <si>
    <t>Uit</t>
  </si>
  <si>
    <t>BTW betalen</t>
  </si>
  <si>
    <t>Winst</t>
  </si>
  <si>
    <t>SumUp</t>
  </si>
  <si>
    <t>Tabblad Contant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</si>
</sst>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EE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14" fillId="0" borderId="0" xfId="0" applyFont="1"/>
    <xf numFmtId="9" fontId="0" fillId="0" borderId="0" xfId="0" applyNumberFormat="1"/>
    <xf numFmtId="14" fontId="0" fillId="0" borderId="0" xfId="0" applyNumberFormat="1"/>
    <xf numFmtId="0" fontId="18" fillId="0" borderId="0" xfId="0" applyFont="1"/>
    <xf numFmtId="164" fontId="14" fillId="0" borderId="0" xfId="0" applyNumberFormat="1" applyFont="1"/>
    <xf numFmtId="2" fontId="19" fillId="0" borderId="0" xfId="0" applyNumberFormat="1" applyFont="1"/>
    <xf numFmtId="0" fontId="19" fillId="0" borderId="0" xfId="0" applyFont="1"/>
    <xf numFmtId="2" fontId="20" fillId="0" borderId="0" xfId="0" applyNumberFormat="1" applyFont="1"/>
    <xf numFmtId="0" fontId="21" fillId="0" borderId="0" xfId="0" applyFont="1"/>
    <xf numFmtId="2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AC79-68D3-4A95-BB32-95DA9AF63856}">
  <dimension ref="A1:M281"/>
  <sheetViews>
    <sheetView tabSelected="1" workbookViewId="0">
      <selection activeCell="B1" sqref="B1"/>
    </sheetView>
  </sheetViews>
  <sheetFormatPr defaultRowHeight="14.4" x14ac:dyDescent="0.3"/>
  <cols>
    <col min="2" max="2" width="16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355</v>
      </c>
      <c r="I1" t="s">
        <v>356</v>
      </c>
      <c r="J1" t="s">
        <v>7</v>
      </c>
      <c r="K1" t="s">
        <v>8</v>
      </c>
      <c r="L1" t="s">
        <v>9</v>
      </c>
    </row>
    <row r="2" spans="1:12" x14ac:dyDescent="0.3">
      <c r="A2">
        <v>20260331</v>
      </c>
      <c r="B2" t="s">
        <v>10</v>
      </c>
      <c r="C2" t="s">
        <v>11</v>
      </c>
      <c r="E2" t="s">
        <v>12</v>
      </c>
      <c r="F2" t="s">
        <v>13</v>
      </c>
      <c r="G2">
        <v>268.52</v>
      </c>
      <c r="I2">
        <v>22.17</v>
      </c>
      <c r="J2" t="s">
        <v>14</v>
      </c>
      <c r="K2" t="s">
        <v>15</v>
      </c>
    </row>
    <row r="3" spans="1:12" x14ac:dyDescent="0.3">
      <c r="A3">
        <v>20260331</v>
      </c>
      <c r="B3" t="s">
        <v>16</v>
      </c>
      <c r="C3" t="s">
        <v>11</v>
      </c>
      <c r="D3" t="s">
        <v>17</v>
      </c>
      <c r="E3" t="s">
        <v>18</v>
      </c>
      <c r="F3" t="s">
        <v>19</v>
      </c>
      <c r="G3">
        <v>747.61</v>
      </c>
      <c r="J3" t="s">
        <v>20</v>
      </c>
      <c r="K3" t="s">
        <v>21</v>
      </c>
    </row>
    <row r="4" spans="1:12" x14ac:dyDescent="0.3">
      <c r="A4">
        <v>20260331</v>
      </c>
      <c r="B4" t="s">
        <v>22</v>
      </c>
      <c r="C4" t="s">
        <v>11</v>
      </c>
      <c r="E4" t="s">
        <v>12</v>
      </c>
      <c r="F4" t="s">
        <v>13</v>
      </c>
      <c r="G4">
        <v>8.3800000000000008</v>
      </c>
      <c r="I4" s="1">
        <f>G4/109*9</f>
        <v>0.69192660550458718</v>
      </c>
      <c r="J4" t="s">
        <v>14</v>
      </c>
      <c r="K4" t="s">
        <v>23</v>
      </c>
    </row>
    <row r="5" spans="1:12" x14ac:dyDescent="0.3">
      <c r="A5">
        <v>20260331</v>
      </c>
      <c r="B5" t="s">
        <v>24</v>
      </c>
      <c r="C5" t="s">
        <v>11</v>
      </c>
      <c r="E5" t="s">
        <v>12</v>
      </c>
      <c r="F5" t="s">
        <v>13</v>
      </c>
      <c r="G5">
        <v>16.489999999999998</v>
      </c>
      <c r="H5" s="1">
        <f>G5/121*21</f>
        <v>2.8619008264462806</v>
      </c>
      <c r="J5" t="s">
        <v>14</v>
      </c>
      <c r="K5" t="s">
        <v>25</v>
      </c>
    </row>
    <row r="6" spans="1:12" x14ac:dyDescent="0.3">
      <c r="A6">
        <v>20260331</v>
      </c>
      <c r="B6" t="s">
        <v>26</v>
      </c>
      <c r="C6" t="s">
        <v>11</v>
      </c>
      <c r="D6" t="s">
        <v>27</v>
      </c>
      <c r="E6" t="s">
        <v>28</v>
      </c>
      <c r="F6" t="s">
        <v>13</v>
      </c>
      <c r="G6">
        <v>651.89</v>
      </c>
      <c r="J6" t="s">
        <v>29</v>
      </c>
      <c r="K6" t="s">
        <v>30</v>
      </c>
    </row>
    <row r="7" spans="1:12" x14ac:dyDescent="0.3">
      <c r="A7">
        <v>20260331</v>
      </c>
      <c r="B7" t="s">
        <v>26</v>
      </c>
      <c r="C7" t="s">
        <v>11</v>
      </c>
      <c r="D7" t="s">
        <v>27</v>
      </c>
      <c r="E7" t="s">
        <v>28</v>
      </c>
      <c r="F7" t="s">
        <v>13</v>
      </c>
      <c r="G7">
        <v>532.22</v>
      </c>
      <c r="J7" t="s">
        <v>29</v>
      </c>
      <c r="K7" t="s">
        <v>31</v>
      </c>
    </row>
    <row r="8" spans="1:12" x14ac:dyDescent="0.3">
      <c r="A8">
        <v>20260331</v>
      </c>
      <c r="B8" t="s">
        <v>26</v>
      </c>
      <c r="C8" t="s">
        <v>11</v>
      </c>
      <c r="D8" t="s">
        <v>27</v>
      </c>
      <c r="E8" t="s">
        <v>28</v>
      </c>
      <c r="F8" t="s">
        <v>13</v>
      </c>
      <c r="G8">
        <v>671.93</v>
      </c>
      <c r="J8" t="s">
        <v>29</v>
      </c>
      <c r="K8" t="s">
        <v>32</v>
      </c>
    </row>
    <row r="9" spans="1:12" x14ac:dyDescent="0.3">
      <c r="A9">
        <v>20260330</v>
      </c>
      <c r="B9" t="s">
        <v>16</v>
      </c>
      <c r="C9" t="s">
        <v>11</v>
      </c>
      <c r="D9" t="s">
        <v>17</v>
      </c>
      <c r="E9" t="s">
        <v>18</v>
      </c>
      <c r="F9" t="s">
        <v>19</v>
      </c>
      <c r="G9">
        <v>2648.86</v>
      </c>
      <c r="J9" t="s">
        <v>20</v>
      </c>
      <c r="K9" t="s">
        <v>33</v>
      </c>
    </row>
    <row r="10" spans="1:12" x14ac:dyDescent="0.3">
      <c r="A10">
        <v>20260330</v>
      </c>
      <c r="B10" t="s">
        <v>22</v>
      </c>
      <c r="C10" t="s">
        <v>11</v>
      </c>
      <c r="E10" t="s">
        <v>12</v>
      </c>
      <c r="F10" t="s">
        <v>13</v>
      </c>
      <c r="G10">
        <v>1.44</v>
      </c>
      <c r="I10" s="1">
        <f>G10/109*9</f>
        <v>0.11889908256880732</v>
      </c>
      <c r="J10" t="s">
        <v>14</v>
      </c>
      <c r="K10" t="s">
        <v>34</v>
      </c>
    </row>
    <row r="11" spans="1:12" x14ac:dyDescent="0.3">
      <c r="A11">
        <v>20260328</v>
      </c>
      <c r="B11" t="s">
        <v>35</v>
      </c>
      <c r="C11" t="s">
        <v>11</v>
      </c>
      <c r="E11" t="s">
        <v>12</v>
      </c>
      <c r="F11" t="s">
        <v>13</v>
      </c>
      <c r="G11">
        <v>147.22999999999999</v>
      </c>
      <c r="I11" s="1">
        <f>G11/109*9</f>
        <v>12.156605504587155</v>
      </c>
      <c r="J11" t="s">
        <v>14</v>
      </c>
      <c r="K11" t="s">
        <v>36</v>
      </c>
    </row>
    <row r="12" spans="1:12" x14ac:dyDescent="0.3">
      <c r="A12">
        <v>20260328</v>
      </c>
      <c r="B12" t="s">
        <v>10</v>
      </c>
      <c r="C12" t="s">
        <v>11</v>
      </c>
      <c r="E12" t="s">
        <v>12</v>
      </c>
      <c r="F12" t="s">
        <v>13</v>
      </c>
      <c r="G12">
        <v>455.69</v>
      </c>
      <c r="H12">
        <v>17.82</v>
      </c>
      <c r="I12">
        <v>29.15</v>
      </c>
      <c r="J12" t="s">
        <v>14</v>
      </c>
      <c r="K12" t="s">
        <v>37</v>
      </c>
    </row>
    <row r="13" spans="1:12" x14ac:dyDescent="0.3">
      <c r="A13">
        <v>20260328</v>
      </c>
      <c r="B13" t="s">
        <v>22</v>
      </c>
      <c r="C13" t="s">
        <v>11</v>
      </c>
      <c r="E13" t="s">
        <v>12</v>
      </c>
      <c r="F13" t="s">
        <v>13</v>
      </c>
      <c r="G13">
        <v>0.65</v>
      </c>
      <c r="I13" s="1">
        <f t="shared" ref="I13:I14" si="0">G13/109*9</f>
        <v>5.3669724770642205E-2</v>
      </c>
      <c r="J13" t="s">
        <v>14</v>
      </c>
      <c r="K13" t="s">
        <v>38</v>
      </c>
    </row>
    <row r="14" spans="1:12" x14ac:dyDescent="0.3">
      <c r="A14">
        <v>20260328</v>
      </c>
      <c r="B14" t="s">
        <v>22</v>
      </c>
      <c r="C14" t="s">
        <v>11</v>
      </c>
      <c r="E14" t="s">
        <v>12</v>
      </c>
      <c r="F14" t="s">
        <v>13</v>
      </c>
      <c r="G14">
        <v>8.83</v>
      </c>
      <c r="I14" s="1">
        <f t="shared" si="0"/>
        <v>0.72908256880733946</v>
      </c>
      <c r="J14" t="s">
        <v>14</v>
      </c>
      <c r="K14" t="s">
        <v>39</v>
      </c>
    </row>
    <row r="15" spans="1:12" x14ac:dyDescent="0.3">
      <c r="A15">
        <v>20260327</v>
      </c>
      <c r="B15" t="s">
        <v>16</v>
      </c>
      <c r="C15" t="s">
        <v>11</v>
      </c>
      <c r="D15" t="s">
        <v>17</v>
      </c>
      <c r="E15" t="s">
        <v>18</v>
      </c>
      <c r="F15" t="s">
        <v>19</v>
      </c>
      <c r="G15">
        <v>666.22</v>
      </c>
      <c r="J15" t="s">
        <v>20</v>
      </c>
      <c r="K15" t="s">
        <v>40</v>
      </c>
    </row>
    <row r="16" spans="1:12" x14ac:dyDescent="0.3">
      <c r="A16">
        <v>20260327</v>
      </c>
      <c r="B16" t="s">
        <v>22</v>
      </c>
      <c r="C16" t="s">
        <v>11</v>
      </c>
      <c r="E16" t="s">
        <v>12</v>
      </c>
      <c r="F16" t="s">
        <v>13</v>
      </c>
      <c r="G16">
        <v>8.94</v>
      </c>
      <c r="I16" s="1">
        <f>G16/109*9</f>
        <v>0.73816513761467895</v>
      </c>
      <c r="J16" t="s">
        <v>14</v>
      </c>
      <c r="K16" t="s">
        <v>41</v>
      </c>
    </row>
    <row r="17" spans="1:11" x14ac:dyDescent="0.3">
      <c r="A17">
        <v>20260327</v>
      </c>
      <c r="B17" t="s">
        <v>42</v>
      </c>
      <c r="C17" t="s">
        <v>11</v>
      </c>
      <c r="E17" t="s">
        <v>43</v>
      </c>
      <c r="F17" t="s">
        <v>13</v>
      </c>
      <c r="G17">
        <v>35.9</v>
      </c>
      <c r="J17" t="s">
        <v>44</v>
      </c>
      <c r="K17" t="s">
        <v>45</v>
      </c>
    </row>
    <row r="18" spans="1:11" x14ac:dyDescent="0.3">
      <c r="A18">
        <v>20260326</v>
      </c>
      <c r="B18" t="s">
        <v>10</v>
      </c>
      <c r="C18" t="s">
        <v>11</v>
      </c>
      <c r="E18" t="s">
        <v>12</v>
      </c>
      <c r="F18" t="s">
        <v>13</v>
      </c>
      <c r="G18">
        <v>247.87</v>
      </c>
      <c r="I18">
        <v>20.47</v>
      </c>
      <c r="J18" t="s">
        <v>14</v>
      </c>
      <c r="K18" t="s">
        <v>46</v>
      </c>
    </row>
    <row r="19" spans="1:11" x14ac:dyDescent="0.3">
      <c r="A19">
        <v>20260326</v>
      </c>
      <c r="B19" t="s">
        <v>16</v>
      </c>
      <c r="C19" t="s">
        <v>11</v>
      </c>
      <c r="D19" t="s">
        <v>17</v>
      </c>
      <c r="E19" t="s">
        <v>18</v>
      </c>
      <c r="F19" t="s">
        <v>19</v>
      </c>
      <c r="G19">
        <v>604.22</v>
      </c>
      <c r="J19" t="s">
        <v>20</v>
      </c>
      <c r="K19" t="s">
        <v>47</v>
      </c>
    </row>
    <row r="20" spans="1:11" x14ac:dyDescent="0.3">
      <c r="A20">
        <v>20260326</v>
      </c>
      <c r="B20" t="s">
        <v>48</v>
      </c>
      <c r="C20" t="s">
        <v>11</v>
      </c>
      <c r="D20" t="s">
        <v>49</v>
      </c>
      <c r="E20" t="s">
        <v>50</v>
      </c>
      <c r="F20" t="s">
        <v>13</v>
      </c>
      <c r="G20">
        <v>42.97</v>
      </c>
      <c r="H20" s="1">
        <f>G20/121*21</f>
        <v>7.4576033057851241</v>
      </c>
      <c r="J20" t="s">
        <v>51</v>
      </c>
      <c r="K20" t="s">
        <v>52</v>
      </c>
    </row>
    <row r="21" spans="1:11" x14ac:dyDescent="0.3">
      <c r="A21">
        <v>20260325</v>
      </c>
      <c r="B21" t="s">
        <v>16</v>
      </c>
      <c r="C21" t="s">
        <v>11</v>
      </c>
      <c r="D21" t="s">
        <v>17</v>
      </c>
      <c r="E21" t="s">
        <v>18</v>
      </c>
      <c r="F21" t="s">
        <v>19</v>
      </c>
      <c r="G21">
        <v>610.97</v>
      </c>
      <c r="J21" t="s">
        <v>20</v>
      </c>
      <c r="K21" t="s">
        <v>53</v>
      </c>
    </row>
    <row r="22" spans="1:11" x14ac:dyDescent="0.3">
      <c r="A22">
        <v>20260325</v>
      </c>
      <c r="B22" t="s">
        <v>22</v>
      </c>
      <c r="C22" t="s">
        <v>11</v>
      </c>
      <c r="E22" t="s">
        <v>12</v>
      </c>
      <c r="F22" t="s">
        <v>13</v>
      </c>
      <c r="G22">
        <v>3.49</v>
      </c>
      <c r="I22" s="1">
        <f>G22/109*9</f>
        <v>0.28816513761467893</v>
      </c>
      <c r="J22" t="s">
        <v>14</v>
      </c>
      <c r="K22" t="s">
        <v>54</v>
      </c>
    </row>
    <row r="23" spans="1:11" x14ac:dyDescent="0.3">
      <c r="A23">
        <v>20260324</v>
      </c>
      <c r="B23" t="s">
        <v>16</v>
      </c>
      <c r="C23" t="s">
        <v>11</v>
      </c>
      <c r="D23" t="s">
        <v>17</v>
      </c>
      <c r="E23" t="s">
        <v>18</v>
      </c>
      <c r="F23" t="s">
        <v>19</v>
      </c>
      <c r="G23">
        <v>482.89</v>
      </c>
      <c r="J23" t="s">
        <v>20</v>
      </c>
      <c r="K23" t="s">
        <v>55</v>
      </c>
    </row>
    <row r="24" spans="1:11" x14ac:dyDescent="0.3">
      <c r="A24">
        <v>20260324</v>
      </c>
      <c r="B24" t="s">
        <v>56</v>
      </c>
      <c r="C24" t="s">
        <v>11</v>
      </c>
      <c r="D24" t="s">
        <v>57</v>
      </c>
      <c r="E24" t="s">
        <v>58</v>
      </c>
      <c r="F24" t="s">
        <v>13</v>
      </c>
      <c r="G24">
        <v>5318.19</v>
      </c>
      <c r="H24" s="1">
        <f>G24/121*21</f>
        <v>922.99165289256189</v>
      </c>
      <c r="J24" t="s">
        <v>59</v>
      </c>
      <c r="K24" t="s">
        <v>60</v>
      </c>
    </row>
    <row r="25" spans="1:11" x14ac:dyDescent="0.3">
      <c r="A25">
        <v>20260323</v>
      </c>
      <c r="B25" t="s">
        <v>16</v>
      </c>
      <c r="C25" t="s">
        <v>11</v>
      </c>
      <c r="D25" t="s">
        <v>17</v>
      </c>
      <c r="E25" t="s">
        <v>18</v>
      </c>
      <c r="F25" t="s">
        <v>19</v>
      </c>
      <c r="G25">
        <v>2213.6999999999998</v>
      </c>
      <c r="J25" t="s">
        <v>20</v>
      </c>
      <c r="K25" t="s">
        <v>61</v>
      </c>
    </row>
    <row r="26" spans="1:11" x14ac:dyDescent="0.3">
      <c r="A26">
        <v>20260323</v>
      </c>
      <c r="B26" t="s">
        <v>10</v>
      </c>
      <c r="C26" t="s">
        <v>11</v>
      </c>
      <c r="E26" t="s">
        <v>12</v>
      </c>
      <c r="F26" t="s">
        <v>13</v>
      </c>
      <c r="G26">
        <v>403.3</v>
      </c>
      <c r="I26">
        <v>33.299999999999997</v>
      </c>
      <c r="J26" t="s">
        <v>14</v>
      </c>
      <c r="K26" t="s">
        <v>62</v>
      </c>
    </row>
    <row r="27" spans="1:11" x14ac:dyDescent="0.3">
      <c r="A27">
        <v>20260322</v>
      </c>
      <c r="B27" t="s">
        <v>22</v>
      </c>
      <c r="C27" t="s">
        <v>11</v>
      </c>
      <c r="E27" t="s">
        <v>12</v>
      </c>
      <c r="F27" t="s">
        <v>13</v>
      </c>
      <c r="G27">
        <v>0.65</v>
      </c>
      <c r="I27" s="1">
        <f t="shared" ref="I27:I28" si="1">G27/109*9</f>
        <v>5.3669724770642205E-2</v>
      </c>
      <c r="J27" t="s">
        <v>14</v>
      </c>
      <c r="K27" t="s">
        <v>63</v>
      </c>
    </row>
    <row r="28" spans="1:11" x14ac:dyDescent="0.3">
      <c r="A28">
        <v>20260322</v>
      </c>
      <c r="B28" t="s">
        <v>22</v>
      </c>
      <c r="C28" t="s">
        <v>11</v>
      </c>
      <c r="E28" t="s">
        <v>12</v>
      </c>
      <c r="F28" t="s">
        <v>13</v>
      </c>
      <c r="G28">
        <v>8.9</v>
      </c>
      <c r="I28" s="1">
        <f t="shared" si="1"/>
        <v>0.73486238532110093</v>
      </c>
      <c r="J28" t="s">
        <v>14</v>
      </c>
      <c r="K28" t="s">
        <v>64</v>
      </c>
    </row>
    <row r="29" spans="1:11" x14ac:dyDescent="0.3">
      <c r="A29">
        <v>20260320</v>
      </c>
      <c r="B29" t="s">
        <v>16</v>
      </c>
      <c r="C29" t="s">
        <v>11</v>
      </c>
      <c r="D29" t="s">
        <v>17</v>
      </c>
      <c r="E29" t="s">
        <v>18</v>
      </c>
      <c r="F29" t="s">
        <v>19</v>
      </c>
      <c r="G29">
        <v>711.36</v>
      </c>
      <c r="J29" t="s">
        <v>20</v>
      </c>
      <c r="K29" t="s">
        <v>65</v>
      </c>
    </row>
    <row r="30" spans="1:11" x14ac:dyDescent="0.3">
      <c r="A30">
        <v>20260320</v>
      </c>
      <c r="B30" t="s">
        <v>22</v>
      </c>
      <c r="C30" t="s">
        <v>11</v>
      </c>
      <c r="E30" t="s">
        <v>12</v>
      </c>
      <c r="F30" t="s">
        <v>13</v>
      </c>
      <c r="G30">
        <v>8.9</v>
      </c>
      <c r="I30" s="1">
        <f>G30/109*9</f>
        <v>0.73486238532110093</v>
      </c>
      <c r="J30" t="s">
        <v>14</v>
      </c>
      <c r="K30" t="s">
        <v>66</v>
      </c>
    </row>
    <row r="31" spans="1:11" x14ac:dyDescent="0.3">
      <c r="A31">
        <v>20260319</v>
      </c>
      <c r="B31" t="s">
        <v>10</v>
      </c>
      <c r="C31" t="s">
        <v>11</v>
      </c>
      <c r="E31" t="s">
        <v>12</v>
      </c>
      <c r="F31" t="s">
        <v>13</v>
      </c>
      <c r="G31">
        <v>385.96</v>
      </c>
      <c r="I31">
        <v>31.87</v>
      </c>
      <c r="J31" t="s">
        <v>14</v>
      </c>
      <c r="K31" t="s">
        <v>67</v>
      </c>
    </row>
    <row r="32" spans="1:11" x14ac:dyDescent="0.3">
      <c r="A32">
        <v>20260319</v>
      </c>
      <c r="B32" t="s">
        <v>16</v>
      </c>
      <c r="C32" t="s">
        <v>11</v>
      </c>
      <c r="D32" t="s">
        <v>17</v>
      </c>
      <c r="E32" t="s">
        <v>18</v>
      </c>
      <c r="F32" t="s">
        <v>19</v>
      </c>
      <c r="G32">
        <v>351.8</v>
      </c>
      <c r="J32" t="s">
        <v>20</v>
      </c>
      <c r="K32" t="s">
        <v>68</v>
      </c>
    </row>
    <row r="33" spans="1:11" x14ac:dyDescent="0.3">
      <c r="A33">
        <v>20260319</v>
      </c>
      <c r="B33" t="s">
        <v>22</v>
      </c>
      <c r="C33" t="s">
        <v>11</v>
      </c>
      <c r="E33" t="s">
        <v>12</v>
      </c>
      <c r="F33" t="s">
        <v>13</v>
      </c>
      <c r="G33">
        <v>3.37</v>
      </c>
      <c r="I33" s="1">
        <f>G33/109*9</f>
        <v>0.278256880733945</v>
      </c>
      <c r="J33" t="s">
        <v>14</v>
      </c>
      <c r="K33" t="s">
        <v>69</v>
      </c>
    </row>
    <row r="34" spans="1:11" x14ac:dyDescent="0.3">
      <c r="A34">
        <v>20260319</v>
      </c>
      <c r="B34" t="s">
        <v>70</v>
      </c>
      <c r="C34" t="s">
        <v>11</v>
      </c>
      <c r="D34" t="s">
        <v>71</v>
      </c>
      <c r="E34" t="s">
        <v>28</v>
      </c>
      <c r="F34" t="s">
        <v>13</v>
      </c>
      <c r="G34">
        <v>45.98</v>
      </c>
      <c r="H34" s="1">
        <f>G34/121*21</f>
        <v>7.9799999999999986</v>
      </c>
      <c r="J34" t="s">
        <v>29</v>
      </c>
      <c r="K34" t="s">
        <v>72</v>
      </c>
    </row>
    <row r="35" spans="1:11" x14ac:dyDescent="0.3">
      <c r="A35">
        <v>20260318</v>
      </c>
      <c r="B35" t="s">
        <v>16</v>
      </c>
      <c r="C35" t="s">
        <v>11</v>
      </c>
      <c r="D35" t="s">
        <v>17</v>
      </c>
      <c r="E35" t="s">
        <v>18</v>
      </c>
      <c r="F35" t="s">
        <v>19</v>
      </c>
      <c r="G35">
        <v>624.74</v>
      </c>
      <c r="J35" t="s">
        <v>20</v>
      </c>
      <c r="K35" t="s">
        <v>73</v>
      </c>
    </row>
    <row r="36" spans="1:11" x14ac:dyDescent="0.3">
      <c r="A36">
        <v>20260318</v>
      </c>
      <c r="B36" t="s">
        <v>74</v>
      </c>
      <c r="C36" t="s">
        <v>11</v>
      </c>
      <c r="E36" t="s">
        <v>12</v>
      </c>
      <c r="F36" t="s">
        <v>13</v>
      </c>
      <c r="G36">
        <v>268.69</v>
      </c>
      <c r="I36">
        <v>22.19</v>
      </c>
      <c r="J36" t="s">
        <v>14</v>
      </c>
      <c r="K36" t="s">
        <v>75</v>
      </c>
    </row>
    <row r="37" spans="1:11" x14ac:dyDescent="0.3">
      <c r="A37">
        <v>20260318</v>
      </c>
      <c r="B37" t="s">
        <v>24</v>
      </c>
      <c r="C37" t="s">
        <v>11</v>
      </c>
      <c r="E37" t="s">
        <v>12</v>
      </c>
      <c r="F37" t="s">
        <v>13</v>
      </c>
      <c r="G37">
        <v>20.61</v>
      </c>
      <c r="H37" s="1">
        <f>G37/121*21</f>
        <v>3.5769421487603306</v>
      </c>
      <c r="J37" t="s">
        <v>14</v>
      </c>
      <c r="K37" t="s">
        <v>76</v>
      </c>
    </row>
    <row r="38" spans="1:11" x14ac:dyDescent="0.3">
      <c r="A38">
        <v>20260318</v>
      </c>
      <c r="B38" t="s">
        <v>22</v>
      </c>
      <c r="C38" t="s">
        <v>11</v>
      </c>
      <c r="E38" t="s">
        <v>12</v>
      </c>
      <c r="F38" t="s">
        <v>13</v>
      </c>
      <c r="G38">
        <v>1.99</v>
      </c>
      <c r="I38" s="1">
        <f>G38/109*9</f>
        <v>0.16431192660550459</v>
      </c>
      <c r="J38" t="s">
        <v>14</v>
      </c>
      <c r="K38" t="s">
        <v>77</v>
      </c>
    </row>
    <row r="39" spans="1:11" x14ac:dyDescent="0.3">
      <c r="A39">
        <v>20260317</v>
      </c>
      <c r="B39" t="s">
        <v>16</v>
      </c>
      <c r="C39" t="s">
        <v>11</v>
      </c>
      <c r="D39" t="s">
        <v>17</v>
      </c>
      <c r="E39" t="s">
        <v>18</v>
      </c>
      <c r="F39" t="s">
        <v>19</v>
      </c>
      <c r="G39">
        <v>437.25</v>
      </c>
      <c r="J39" t="s">
        <v>20</v>
      </c>
      <c r="K39" t="s">
        <v>78</v>
      </c>
    </row>
    <row r="40" spans="1:11" x14ac:dyDescent="0.3">
      <c r="A40">
        <v>20260317</v>
      </c>
      <c r="B40" t="s">
        <v>24</v>
      </c>
      <c r="C40" t="s">
        <v>11</v>
      </c>
      <c r="E40" t="s">
        <v>12</v>
      </c>
      <c r="F40" t="s">
        <v>13</v>
      </c>
      <c r="G40">
        <v>7.47</v>
      </c>
      <c r="H40" s="1">
        <f>G40/121*21</f>
        <v>1.2964462809917354</v>
      </c>
      <c r="J40" t="s">
        <v>14</v>
      </c>
      <c r="K40" t="s">
        <v>79</v>
      </c>
    </row>
    <row r="41" spans="1:11" x14ac:dyDescent="0.3">
      <c r="A41">
        <v>20260317</v>
      </c>
      <c r="B41" t="s">
        <v>22</v>
      </c>
      <c r="C41" t="s">
        <v>11</v>
      </c>
      <c r="E41" t="s">
        <v>12</v>
      </c>
      <c r="F41" t="s">
        <v>13</v>
      </c>
      <c r="G41">
        <v>4.29</v>
      </c>
      <c r="I41" s="1">
        <f t="shared" ref="I41:I42" si="2">G41/109*9</f>
        <v>0.35422018348623857</v>
      </c>
      <c r="J41" t="s">
        <v>14</v>
      </c>
      <c r="K41" t="s">
        <v>80</v>
      </c>
    </row>
    <row r="42" spans="1:11" x14ac:dyDescent="0.3">
      <c r="A42">
        <v>20260317</v>
      </c>
      <c r="B42" t="s">
        <v>22</v>
      </c>
      <c r="C42" t="s">
        <v>11</v>
      </c>
      <c r="E42" t="s">
        <v>12</v>
      </c>
      <c r="F42" t="s">
        <v>13</v>
      </c>
      <c r="G42">
        <v>8.9</v>
      </c>
      <c r="I42" s="1">
        <f t="shared" si="2"/>
        <v>0.73486238532110093</v>
      </c>
      <c r="J42" t="s">
        <v>14</v>
      </c>
      <c r="K42" t="s">
        <v>81</v>
      </c>
    </row>
    <row r="43" spans="1:11" x14ac:dyDescent="0.3">
      <c r="A43">
        <v>20260316</v>
      </c>
      <c r="B43" t="s">
        <v>16</v>
      </c>
      <c r="C43" t="s">
        <v>11</v>
      </c>
      <c r="D43" t="s">
        <v>17</v>
      </c>
      <c r="E43" t="s">
        <v>18</v>
      </c>
      <c r="F43" t="s">
        <v>19</v>
      </c>
      <c r="G43">
        <v>2159.83</v>
      </c>
      <c r="J43" t="s">
        <v>20</v>
      </c>
      <c r="K43" t="s">
        <v>82</v>
      </c>
    </row>
    <row r="44" spans="1:11" x14ac:dyDescent="0.3">
      <c r="A44">
        <v>20260316</v>
      </c>
      <c r="B44" t="s">
        <v>22</v>
      </c>
      <c r="C44" t="s">
        <v>11</v>
      </c>
      <c r="E44" t="s">
        <v>12</v>
      </c>
      <c r="F44" t="s">
        <v>13</v>
      </c>
      <c r="G44">
        <v>3.78</v>
      </c>
      <c r="I44" s="1">
        <f t="shared" ref="I44:I47" si="3">G44/109*9</f>
        <v>0.31211009174311927</v>
      </c>
      <c r="J44" t="s">
        <v>14</v>
      </c>
      <c r="K44" t="s">
        <v>83</v>
      </c>
    </row>
    <row r="45" spans="1:11" x14ac:dyDescent="0.3">
      <c r="A45">
        <v>20260316</v>
      </c>
      <c r="B45" t="s">
        <v>22</v>
      </c>
      <c r="C45" t="s">
        <v>11</v>
      </c>
      <c r="E45" t="s">
        <v>12</v>
      </c>
      <c r="F45" t="s">
        <v>13</v>
      </c>
      <c r="G45">
        <v>7.45</v>
      </c>
      <c r="I45" s="1">
        <f t="shared" si="3"/>
        <v>0.61513761467889916</v>
      </c>
      <c r="J45" t="s">
        <v>14</v>
      </c>
      <c r="K45" t="s">
        <v>84</v>
      </c>
    </row>
    <row r="46" spans="1:11" x14ac:dyDescent="0.3">
      <c r="A46">
        <v>20260315</v>
      </c>
      <c r="B46" t="s">
        <v>22</v>
      </c>
      <c r="C46" t="s">
        <v>11</v>
      </c>
      <c r="E46" t="s">
        <v>12</v>
      </c>
      <c r="F46" t="s">
        <v>13</v>
      </c>
      <c r="G46">
        <v>3.18</v>
      </c>
      <c r="I46" s="1">
        <f t="shared" si="3"/>
        <v>0.26256880733944954</v>
      </c>
      <c r="J46" t="s">
        <v>14</v>
      </c>
      <c r="K46" t="s">
        <v>85</v>
      </c>
    </row>
    <row r="47" spans="1:11" x14ac:dyDescent="0.3">
      <c r="A47">
        <v>20260315</v>
      </c>
      <c r="B47" t="s">
        <v>22</v>
      </c>
      <c r="C47" t="s">
        <v>11</v>
      </c>
      <c r="E47" t="s">
        <v>12</v>
      </c>
      <c r="F47" t="s">
        <v>13</v>
      </c>
      <c r="G47">
        <v>2.2799999999999998</v>
      </c>
      <c r="I47" s="1">
        <f t="shared" si="3"/>
        <v>0.18825688073394492</v>
      </c>
      <c r="J47" t="s">
        <v>14</v>
      </c>
      <c r="K47" t="s">
        <v>86</v>
      </c>
    </row>
    <row r="48" spans="1:11" x14ac:dyDescent="0.3">
      <c r="A48">
        <v>20260313</v>
      </c>
      <c r="B48" t="s">
        <v>16</v>
      </c>
      <c r="C48" t="s">
        <v>11</v>
      </c>
      <c r="D48" t="s">
        <v>17</v>
      </c>
      <c r="E48" t="s">
        <v>18</v>
      </c>
      <c r="F48" t="s">
        <v>19</v>
      </c>
      <c r="G48">
        <v>468.05</v>
      </c>
      <c r="J48" t="s">
        <v>20</v>
      </c>
      <c r="K48" t="s">
        <v>87</v>
      </c>
    </row>
    <row r="49" spans="1:11" x14ac:dyDescent="0.3">
      <c r="A49">
        <v>20260312</v>
      </c>
      <c r="B49" t="s">
        <v>16</v>
      </c>
      <c r="C49" t="s">
        <v>11</v>
      </c>
      <c r="D49" t="s">
        <v>17</v>
      </c>
      <c r="E49" t="s">
        <v>18</v>
      </c>
      <c r="F49" t="s">
        <v>19</v>
      </c>
      <c r="G49">
        <v>436.39</v>
      </c>
      <c r="J49" t="s">
        <v>20</v>
      </c>
      <c r="K49" t="s">
        <v>88</v>
      </c>
    </row>
    <row r="50" spans="1:11" x14ac:dyDescent="0.3">
      <c r="A50">
        <v>20260312</v>
      </c>
      <c r="B50" t="s">
        <v>22</v>
      </c>
      <c r="C50" t="s">
        <v>11</v>
      </c>
      <c r="E50" t="s">
        <v>12</v>
      </c>
      <c r="F50" t="s">
        <v>13</v>
      </c>
      <c r="G50">
        <v>0.99</v>
      </c>
      <c r="I50" s="1">
        <f t="shared" ref="I50:I51" si="4">G50/109*9</f>
        <v>8.1743119266055042E-2</v>
      </c>
      <c r="J50" t="s">
        <v>14</v>
      </c>
      <c r="K50" t="s">
        <v>89</v>
      </c>
    </row>
    <row r="51" spans="1:11" x14ac:dyDescent="0.3">
      <c r="A51">
        <v>20260312</v>
      </c>
      <c r="B51" t="s">
        <v>22</v>
      </c>
      <c r="C51" t="s">
        <v>11</v>
      </c>
      <c r="E51" t="s">
        <v>12</v>
      </c>
      <c r="F51" t="s">
        <v>13</v>
      </c>
      <c r="G51">
        <v>8.76</v>
      </c>
      <c r="I51" s="1">
        <f t="shared" si="4"/>
        <v>0.72330275229357799</v>
      </c>
      <c r="J51" t="s">
        <v>14</v>
      </c>
      <c r="K51" t="s">
        <v>90</v>
      </c>
    </row>
    <row r="52" spans="1:11" x14ac:dyDescent="0.3">
      <c r="A52">
        <v>20260311</v>
      </c>
      <c r="B52" t="s">
        <v>16</v>
      </c>
      <c r="C52" t="s">
        <v>11</v>
      </c>
      <c r="D52" t="s">
        <v>17</v>
      </c>
      <c r="E52" t="s">
        <v>18</v>
      </c>
      <c r="F52" t="s">
        <v>19</v>
      </c>
      <c r="G52">
        <v>393.07</v>
      </c>
      <c r="J52" t="s">
        <v>20</v>
      </c>
      <c r="K52" t="s">
        <v>91</v>
      </c>
    </row>
    <row r="53" spans="1:11" x14ac:dyDescent="0.3">
      <c r="A53">
        <v>20260310</v>
      </c>
      <c r="B53" t="s">
        <v>16</v>
      </c>
      <c r="C53" t="s">
        <v>11</v>
      </c>
      <c r="D53" t="s">
        <v>17</v>
      </c>
      <c r="E53" t="s">
        <v>18</v>
      </c>
      <c r="F53" t="s">
        <v>19</v>
      </c>
      <c r="G53">
        <v>361.26</v>
      </c>
      <c r="J53" t="s">
        <v>20</v>
      </c>
      <c r="K53" t="s">
        <v>92</v>
      </c>
    </row>
    <row r="54" spans="1:11" x14ac:dyDescent="0.3">
      <c r="A54">
        <v>20260310</v>
      </c>
      <c r="B54" t="s">
        <v>22</v>
      </c>
      <c r="C54" t="s">
        <v>11</v>
      </c>
      <c r="E54" t="s">
        <v>12</v>
      </c>
      <c r="F54" t="s">
        <v>13</v>
      </c>
      <c r="G54">
        <v>4.29</v>
      </c>
      <c r="I54" s="1">
        <f t="shared" ref="I54:I55" si="5">G54/109*9</f>
        <v>0.35422018348623857</v>
      </c>
      <c r="J54" t="s">
        <v>14</v>
      </c>
      <c r="K54" t="s">
        <v>93</v>
      </c>
    </row>
    <row r="55" spans="1:11" x14ac:dyDescent="0.3">
      <c r="A55">
        <v>20260310</v>
      </c>
      <c r="B55" t="s">
        <v>22</v>
      </c>
      <c r="C55" t="s">
        <v>11</v>
      </c>
      <c r="E55" t="s">
        <v>12</v>
      </c>
      <c r="F55" t="s">
        <v>13</v>
      </c>
      <c r="G55">
        <v>3.38</v>
      </c>
      <c r="I55" s="1">
        <f t="shared" si="5"/>
        <v>0.27908256880733945</v>
      </c>
      <c r="J55" t="s">
        <v>14</v>
      </c>
      <c r="K55" t="s">
        <v>94</v>
      </c>
    </row>
    <row r="56" spans="1:11" x14ac:dyDescent="0.3">
      <c r="A56">
        <v>20260309</v>
      </c>
      <c r="B56" t="s">
        <v>16</v>
      </c>
      <c r="C56" t="s">
        <v>11</v>
      </c>
      <c r="D56" t="s">
        <v>17</v>
      </c>
      <c r="E56" t="s">
        <v>18</v>
      </c>
      <c r="F56" t="s">
        <v>19</v>
      </c>
      <c r="G56">
        <v>1846.04</v>
      </c>
      <c r="J56" t="s">
        <v>20</v>
      </c>
      <c r="K56" t="s">
        <v>95</v>
      </c>
    </row>
    <row r="57" spans="1:11" x14ac:dyDescent="0.3">
      <c r="A57">
        <v>20260309</v>
      </c>
      <c r="B57" t="s">
        <v>22</v>
      </c>
      <c r="C57" t="s">
        <v>11</v>
      </c>
      <c r="E57" t="s">
        <v>12</v>
      </c>
      <c r="F57" t="s">
        <v>13</v>
      </c>
      <c r="G57">
        <v>1.19</v>
      </c>
      <c r="I57" s="1">
        <f>G57/109*9</f>
        <v>9.8256880733944951E-2</v>
      </c>
      <c r="J57" t="s">
        <v>14</v>
      </c>
      <c r="K57" t="s">
        <v>96</v>
      </c>
    </row>
    <row r="58" spans="1:11" x14ac:dyDescent="0.3">
      <c r="A58">
        <v>20260307</v>
      </c>
      <c r="B58" s="2" t="s">
        <v>10</v>
      </c>
      <c r="C58" t="s">
        <v>11</v>
      </c>
      <c r="E58" t="s">
        <v>12</v>
      </c>
      <c r="F58" t="s">
        <v>13</v>
      </c>
      <c r="G58">
        <v>384.88</v>
      </c>
      <c r="J58" t="s">
        <v>14</v>
      </c>
      <c r="K58" t="s">
        <v>97</v>
      </c>
    </row>
    <row r="59" spans="1:11" x14ac:dyDescent="0.3">
      <c r="A59">
        <v>20260307</v>
      </c>
      <c r="B59" t="s">
        <v>98</v>
      </c>
      <c r="C59" t="s">
        <v>11</v>
      </c>
      <c r="D59" t="s">
        <v>99</v>
      </c>
      <c r="E59" t="s">
        <v>58</v>
      </c>
      <c r="F59" t="s">
        <v>13</v>
      </c>
      <c r="G59">
        <v>1599</v>
      </c>
      <c r="J59" t="s">
        <v>59</v>
      </c>
      <c r="K59" t="s">
        <v>100</v>
      </c>
    </row>
    <row r="60" spans="1:11" x14ac:dyDescent="0.3">
      <c r="A60">
        <v>20260306</v>
      </c>
      <c r="B60" t="s">
        <v>16</v>
      </c>
      <c r="C60" t="s">
        <v>11</v>
      </c>
      <c r="D60" t="s">
        <v>17</v>
      </c>
      <c r="E60" t="s">
        <v>18</v>
      </c>
      <c r="F60" t="s">
        <v>19</v>
      </c>
      <c r="G60">
        <v>403.24</v>
      </c>
      <c r="J60" t="s">
        <v>20</v>
      </c>
      <c r="K60" t="s">
        <v>101</v>
      </c>
    </row>
    <row r="61" spans="1:11" x14ac:dyDescent="0.3">
      <c r="A61">
        <v>20260305</v>
      </c>
      <c r="B61" t="s">
        <v>16</v>
      </c>
      <c r="C61" t="s">
        <v>11</v>
      </c>
      <c r="D61" t="s">
        <v>17</v>
      </c>
      <c r="E61" t="s">
        <v>18</v>
      </c>
      <c r="F61" t="s">
        <v>19</v>
      </c>
      <c r="G61">
        <v>409.05</v>
      </c>
      <c r="J61" t="s">
        <v>20</v>
      </c>
      <c r="K61" t="s">
        <v>102</v>
      </c>
    </row>
    <row r="62" spans="1:11" x14ac:dyDescent="0.3">
      <c r="A62">
        <v>20260305</v>
      </c>
      <c r="B62" t="s">
        <v>103</v>
      </c>
      <c r="C62" t="s">
        <v>11</v>
      </c>
      <c r="E62" t="s">
        <v>12</v>
      </c>
      <c r="F62" t="s">
        <v>13</v>
      </c>
      <c r="G62">
        <v>15</v>
      </c>
      <c r="I62" s="1">
        <f t="shared" ref="I62:I63" si="6">G62/109*9</f>
        <v>1.2385321100917432</v>
      </c>
      <c r="J62" t="s">
        <v>14</v>
      </c>
      <c r="K62" t="s">
        <v>104</v>
      </c>
    </row>
    <row r="63" spans="1:11" x14ac:dyDescent="0.3">
      <c r="A63">
        <v>20260305</v>
      </c>
      <c r="B63" t="s">
        <v>22</v>
      </c>
      <c r="C63" t="s">
        <v>11</v>
      </c>
      <c r="E63" t="s">
        <v>12</v>
      </c>
      <c r="F63" t="s">
        <v>13</v>
      </c>
      <c r="G63">
        <v>11.89</v>
      </c>
      <c r="I63" s="1">
        <f t="shared" si="6"/>
        <v>0.98174311926605506</v>
      </c>
      <c r="J63" t="s">
        <v>14</v>
      </c>
      <c r="K63" t="s">
        <v>105</v>
      </c>
    </row>
    <row r="64" spans="1:11" x14ac:dyDescent="0.3">
      <c r="A64">
        <v>20260304</v>
      </c>
      <c r="B64" t="s">
        <v>16</v>
      </c>
      <c r="C64" t="s">
        <v>11</v>
      </c>
      <c r="D64" t="s">
        <v>17</v>
      </c>
      <c r="E64" t="s">
        <v>18</v>
      </c>
      <c r="F64" t="s">
        <v>19</v>
      </c>
      <c r="G64">
        <v>392.54</v>
      </c>
      <c r="J64" t="s">
        <v>20</v>
      </c>
      <c r="K64" t="s">
        <v>106</v>
      </c>
    </row>
    <row r="65" spans="1:11" x14ac:dyDescent="0.3">
      <c r="A65">
        <v>20260304</v>
      </c>
      <c r="B65" t="s">
        <v>56</v>
      </c>
      <c r="C65" t="s">
        <v>11</v>
      </c>
      <c r="D65" t="s">
        <v>57</v>
      </c>
      <c r="E65" t="s">
        <v>58</v>
      </c>
      <c r="F65" t="s">
        <v>13</v>
      </c>
      <c r="G65">
        <v>5318.19</v>
      </c>
      <c r="H65" s="1">
        <f>G65/121*21</f>
        <v>922.99165289256189</v>
      </c>
      <c r="J65" t="s">
        <v>59</v>
      </c>
      <c r="K65" t="s">
        <v>107</v>
      </c>
    </row>
    <row r="66" spans="1:11" x14ac:dyDescent="0.3">
      <c r="A66">
        <v>20260304</v>
      </c>
      <c r="B66" t="s">
        <v>108</v>
      </c>
      <c r="C66" t="s">
        <v>11</v>
      </c>
      <c r="D66" t="s">
        <v>109</v>
      </c>
      <c r="E66" t="s">
        <v>18</v>
      </c>
      <c r="F66" t="s">
        <v>19</v>
      </c>
      <c r="G66">
        <v>2908.12</v>
      </c>
      <c r="J66" t="s">
        <v>20</v>
      </c>
      <c r="K66" t="s">
        <v>110</v>
      </c>
    </row>
    <row r="67" spans="1:11" x14ac:dyDescent="0.3">
      <c r="A67">
        <v>20260303</v>
      </c>
      <c r="B67" s="2" t="s">
        <v>111</v>
      </c>
      <c r="C67" t="s">
        <v>11</v>
      </c>
      <c r="E67" t="s">
        <v>12</v>
      </c>
      <c r="F67" t="s">
        <v>13</v>
      </c>
      <c r="G67">
        <v>237.5</v>
      </c>
      <c r="J67" t="s">
        <v>14</v>
      </c>
      <c r="K67" t="s">
        <v>112</v>
      </c>
    </row>
    <row r="68" spans="1:11" x14ac:dyDescent="0.3">
      <c r="A68">
        <v>20260303</v>
      </c>
      <c r="B68" t="s">
        <v>16</v>
      </c>
      <c r="C68" t="s">
        <v>11</v>
      </c>
      <c r="D68" t="s">
        <v>17</v>
      </c>
      <c r="E68" t="s">
        <v>18</v>
      </c>
      <c r="F68" t="s">
        <v>19</v>
      </c>
      <c r="G68">
        <v>418.17</v>
      </c>
      <c r="J68" t="s">
        <v>20</v>
      </c>
      <c r="K68" t="s">
        <v>113</v>
      </c>
    </row>
    <row r="69" spans="1:11" x14ac:dyDescent="0.3">
      <c r="A69">
        <v>20260303</v>
      </c>
      <c r="B69" t="s">
        <v>24</v>
      </c>
      <c r="C69" t="s">
        <v>11</v>
      </c>
      <c r="E69" t="s">
        <v>12</v>
      </c>
      <c r="F69" t="s">
        <v>13</v>
      </c>
      <c r="G69">
        <v>14.84</v>
      </c>
      <c r="H69" s="1">
        <f>G69/121*21</f>
        <v>2.5755371900826445</v>
      </c>
      <c r="J69" t="s">
        <v>14</v>
      </c>
      <c r="K69" t="s">
        <v>114</v>
      </c>
    </row>
    <row r="70" spans="1:11" x14ac:dyDescent="0.3">
      <c r="A70">
        <v>20260303</v>
      </c>
      <c r="B70" t="s">
        <v>22</v>
      </c>
      <c r="C70" t="s">
        <v>11</v>
      </c>
      <c r="E70" t="s">
        <v>12</v>
      </c>
      <c r="F70" t="s">
        <v>13</v>
      </c>
      <c r="G70">
        <v>4.29</v>
      </c>
      <c r="I70" s="1">
        <f>G70/109*9</f>
        <v>0.35422018348623857</v>
      </c>
      <c r="J70" t="s">
        <v>14</v>
      </c>
      <c r="K70" t="s">
        <v>115</v>
      </c>
    </row>
    <row r="71" spans="1:11" x14ac:dyDescent="0.3">
      <c r="A71">
        <v>20260303</v>
      </c>
      <c r="B71" t="s">
        <v>116</v>
      </c>
      <c r="C71" t="s">
        <v>11</v>
      </c>
      <c r="D71" t="s">
        <v>117</v>
      </c>
      <c r="E71" t="s">
        <v>28</v>
      </c>
      <c r="F71" t="s">
        <v>13</v>
      </c>
      <c r="G71">
        <v>21.99</v>
      </c>
      <c r="H71" s="1">
        <f>G71/121*21</f>
        <v>3.8164462809917348</v>
      </c>
      <c r="J71" t="s">
        <v>29</v>
      </c>
      <c r="K71" t="s">
        <v>118</v>
      </c>
    </row>
    <row r="72" spans="1:11" x14ac:dyDescent="0.3">
      <c r="A72">
        <v>20260302</v>
      </c>
      <c r="B72" t="s">
        <v>16</v>
      </c>
      <c r="C72" t="s">
        <v>11</v>
      </c>
      <c r="D72" t="s">
        <v>17</v>
      </c>
      <c r="E72" t="s">
        <v>18</v>
      </c>
      <c r="F72" t="s">
        <v>19</v>
      </c>
      <c r="G72">
        <v>2476.4899999999998</v>
      </c>
      <c r="J72" t="s">
        <v>20</v>
      </c>
      <c r="K72" t="s">
        <v>119</v>
      </c>
    </row>
    <row r="73" spans="1:11" x14ac:dyDescent="0.3">
      <c r="A73">
        <v>20260302</v>
      </c>
      <c r="B73" t="s">
        <v>120</v>
      </c>
      <c r="C73" t="s">
        <v>11</v>
      </c>
      <c r="D73" t="s">
        <v>121</v>
      </c>
      <c r="E73" t="s">
        <v>58</v>
      </c>
      <c r="F73" t="s">
        <v>13</v>
      </c>
      <c r="G73">
        <v>1290.82</v>
      </c>
      <c r="J73" t="s">
        <v>59</v>
      </c>
      <c r="K73" t="s">
        <v>122</v>
      </c>
    </row>
    <row r="74" spans="1:11" x14ac:dyDescent="0.3">
      <c r="A74">
        <v>20260302</v>
      </c>
      <c r="B74" t="s">
        <v>123</v>
      </c>
      <c r="C74" t="s">
        <v>11</v>
      </c>
      <c r="D74" t="s">
        <v>124</v>
      </c>
      <c r="E74" t="s">
        <v>58</v>
      </c>
      <c r="F74" t="s">
        <v>13</v>
      </c>
      <c r="G74">
        <v>405.22</v>
      </c>
      <c r="J74" t="s">
        <v>59</v>
      </c>
      <c r="K74" t="s">
        <v>125</v>
      </c>
    </row>
    <row r="75" spans="1:11" x14ac:dyDescent="0.3">
      <c r="A75">
        <v>20260302</v>
      </c>
      <c r="B75" t="s">
        <v>126</v>
      </c>
      <c r="C75" t="s">
        <v>11</v>
      </c>
      <c r="D75" t="s">
        <v>127</v>
      </c>
      <c r="E75" t="s">
        <v>58</v>
      </c>
      <c r="F75" t="s">
        <v>13</v>
      </c>
      <c r="G75">
        <v>196.94</v>
      </c>
      <c r="J75" t="s">
        <v>59</v>
      </c>
      <c r="K75" t="s">
        <v>128</v>
      </c>
    </row>
    <row r="76" spans="1:11" x14ac:dyDescent="0.3">
      <c r="A76">
        <v>20260302</v>
      </c>
      <c r="B76" t="s">
        <v>129</v>
      </c>
      <c r="C76" t="s">
        <v>11</v>
      </c>
      <c r="D76" t="s">
        <v>130</v>
      </c>
      <c r="E76" t="s">
        <v>58</v>
      </c>
      <c r="F76" t="s">
        <v>13</v>
      </c>
      <c r="G76">
        <v>104.33</v>
      </c>
      <c r="J76" t="s">
        <v>59</v>
      </c>
      <c r="K76" t="s">
        <v>131</v>
      </c>
    </row>
    <row r="77" spans="1:11" x14ac:dyDescent="0.3">
      <c r="A77">
        <v>20260302</v>
      </c>
      <c r="B77" t="s">
        <v>132</v>
      </c>
      <c r="C77" t="s">
        <v>11</v>
      </c>
      <c r="D77" t="s">
        <v>133</v>
      </c>
      <c r="E77" t="s">
        <v>58</v>
      </c>
      <c r="F77" t="s">
        <v>13</v>
      </c>
      <c r="G77">
        <v>1220.01</v>
      </c>
      <c r="J77" t="s">
        <v>59</v>
      </c>
      <c r="K77" t="s">
        <v>134</v>
      </c>
    </row>
    <row r="78" spans="1:11" x14ac:dyDescent="0.3">
      <c r="A78">
        <v>20260302</v>
      </c>
      <c r="B78" t="s">
        <v>135</v>
      </c>
      <c r="C78" t="s">
        <v>11</v>
      </c>
      <c r="D78" t="s">
        <v>136</v>
      </c>
      <c r="E78" t="s">
        <v>58</v>
      </c>
      <c r="F78" t="s">
        <v>13</v>
      </c>
      <c r="G78">
        <v>2082.62</v>
      </c>
      <c r="J78" t="s">
        <v>59</v>
      </c>
      <c r="K78" t="s">
        <v>137</v>
      </c>
    </row>
    <row r="79" spans="1:11" x14ac:dyDescent="0.3">
      <c r="A79">
        <v>20260302</v>
      </c>
      <c r="B79" t="s">
        <v>138</v>
      </c>
      <c r="C79" t="s">
        <v>11</v>
      </c>
      <c r="D79" t="s">
        <v>139</v>
      </c>
      <c r="E79" t="s">
        <v>58</v>
      </c>
      <c r="F79" t="s">
        <v>13</v>
      </c>
      <c r="G79">
        <v>650.48</v>
      </c>
      <c r="J79" t="s">
        <v>59</v>
      </c>
      <c r="K79" t="s">
        <v>140</v>
      </c>
    </row>
    <row r="80" spans="1:11" x14ac:dyDescent="0.3">
      <c r="A80">
        <v>20260302</v>
      </c>
      <c r="B80" t="s">
        <v>141</v>
      </c>
      <c r="C80" t="s">
        <v>11</v>
      </c>
      <c r="D80" t="s">
        <v>142</v>
      </c>
      <c r="E80" t="s">
        <v>58</v>
      </c>
      <c r="F80" t="s">
        <v>13</v>
      </c>
      <c r="G80">
        <v>496.1</v>
      </c>
      <c r="J80" t="s">
        <v>59</v>
      </c>
      <c r="K80" t="s">
        <v>143</v>
      </c>
    </row>
    <row r="81" spans="1:11" x14ac:dyDescent="0.3">
      <c r="A81">
        <v>20260302</v>
      </c>
      <c r="B81" t="s">
        <v>22</v>
      </c>
      <c r="C81" t="s">
        <v>11</v>
      </c>
      <c r="E81" t="s">
        <v>12</v>
      </c>
      <c r="F81" t="s">
        <v>13</v>
      </c>
      <c r="G81">
        <v>11.09</v>
      </c>
      <c r="I81" s="1">
        <f t="shared" ref="I81:I83" si="7">G81/109*9</f>
        <v>0.91568807339449543</v>
      </c>
      <c r="J81" t="s">
        <v>14</v>
      </c>
      <c r="K81" t="s">
        <v>144</v>
      </c>
    </row>
    <row r="82" spans="1:11" x14ac:dyDescent="0.3">
      <c r="A82">
        <v>20260301</v>
      </c>
      <c r="B82" t="s">
        <v>22</v>
      </c>
      <c r="C82" t="s">
        <v>11</v>
      </c>
      <c r="E82" t="s">
        <v>12</v>
      </c>
      <c r="F82" t="s">
        <v>13</v>
      </c>
      <c r="G82">
        <v>2.34</v>
      </c>
      <c r="I82" s="1">
        <f t="shared" si="7"/>
        <v>0.19321100917431192</v>
      </c>
      <c r="J82" t="s">
        <v>14</v>
      </c>
      <c r="K82" t="s">
        <v>145</v>
      </c>
    </row>
    <row r="83" spans="1:11" x14ac:dyDescent="0.3">
      <c r="A83">
        <v>20260301</v>
      </c>
      <c r="B83" t="s">
        <v>22</v>
      </c>
      <c r="C83" t="s">
        <v>11</v>
      </c>
      <c r="E83" t="s">
        <v>12</v>
      </c>
      <c r="F83" t="s">
        <v>13</v>
      </c>
      <c r="G83">
        <v>6.73</v>
      </c>
      <c r="I83" s="1">
        <f t="shared" si="7"/>
        <v>0.55568807339449544</v>
      </c>
      <c r="J83" t="s">
        <v>14</v>
      </c>
      <c r="K83" t="s">
        <v>146</v>
      </c>
    </row>
    <row r="84" spans="1:11" x14ac:dyDescent="0.3">
      <c r="A84">
        <v>20260227</v>
      </c>
      <c r="B84" t="s">
        <v>16</v>
      </c>
      <c r="C84" t="s">
        <v>11</v>
      </c>
      <c r="D84" t="s">
        <v>17</v>
      </c>
      <c r="E84" t="s">
        <v>18</v>
      </c>
      <c r="F84" t="s">
        <v>19</v>
      </c>
      <c r="G84">
        <v>629.30999999999995</v>
      </c>
      <c r="J84" t="s">
        <v>20</v>
      </c>
      <c r="K84" t="s">
        <v>147</v>
      </c>
    </row>
    <row r="85" spans="1:11" x14ac:dyDescent="0.3">
      <c r="A85">
        <v>20260227</v>
      </c>
      <c r="B85" t="s">
        <v>10</v>
      </c>
      <c r="C85" t="s">
        <v>11</v>
      </c>
      <c r="E85" t="s">
        <v>12</v>
      </c>
      <c r="F85" t="s">
        <v>13</v>
      </c>
      <c r="G85">
        <v>233.74</v>
      </c>
      <c r="I85">
        <v>19.3</v>
      </c>
      <c r="J85" t="s">
        <v>14</v>
      </c>
      <c r="K85" t="s">
        <v>148</v>
      </c>
    </row>
    <row r="86" spans="1:11" x14ac:dyDescent="0.3">
      <c r="A86">
        <v>20260227</v>
      </c>
      <c r="B86" t="s">
        <v>22</v>
      </c>
      <c r="C86" t="s">
        <v>11</v>
      </c>
      <c r="E86" t="s">
        <v>12</v>
      </c>
      <c r="F86" t="s">
        <v>13</v>
      </c>
      <c r="G86">
        <v>3.78</v>
      </c>
      <c r="I86" s="1">
        <f t="shared" ref="I86:I87" si="8">G86/109*9</f>
        <v>0.31211009174311927</v>
      </c>
      <c r="J86" t="s">
        <v>14</v>
      </c>
      <c r="K86" t="s">
        <v>149</v>
      </c>
    </row>
    <row r="87" spans="1:11" x14ac:dyDescent="0.3">
      <c r="A87">
        <v>20260227</v>
      </c>
      <c r="B87" t="s">
        <v>22</v>
      </c>
      <c r="C87" t="s">
        <v>11</v>
      </c>
      <c r="E87" t="s">
        <v>12</v>
      </c>
      <c r="F87" t="s">
        <v>13</v>
      </c>
      <c r="G87">
        <v>4.29</v>
      </c>
      <c r="I87" s="1">
        <f t="shared" si="8"/>
        <v>0.35422018348623857</v>
      </c>
      <c r="J87" t="s">
        <v>14</v>
      </c>
      <c r="K87" t="s">
        <v>150</v>
      </c>
    </row>
    <row r="88" spans="1:11" x14ac:dyDescent="0.3">
      <c r="A88">
        <v>20260226</v>
      </c>
      <c r="B88" t="s">
        <v>16</v>
      </c>
      <c r="C88" t="s">
        <v>11</v>
      </c>
      <c r="D88" t="s">
        <v>17</v>
      </c>
      <c r="E88" t="s">
        <v>18</v>
      </c>
      <c r="F88" t="s">
        <v>19</v>
      </c>
      <c r="G88">
        <v>636.73</v>
      </c>
      <c r="J88" t="s">
        <v>20</v>
      </c>
      <c r="K88" t="s">
        <v>151</v>
      </c>
    </row>
    <row r="89" spans="1:11" x14ac:dyDescent="0.3">
      <c r="A89">
        <v>20260226</v>
      </c>
      <c r="B89" t="s">
        <v>22</v>
      </c>
      <c r="C89" t="s">
        <v>11</v>
      </c>
      <c r="E89" t="s">
        <v>12</v>
      </c>
      <c r="F89" t="s">
        <v>13</v>
      </c>
      <c r="G89">
        <v>0.99</v>
      </c>
      <c r="I89" s="1">
        <f>G89/109*9</f>
        <v>8.1743119266055042E-2</v>
      </c>
      <c r="J89" t="s">
        <v>14</v>
      </c>
      <c r="K89" t="s">
        <v>152</v>
      </c>
    </row>
    <row r="90" spans="1:11" x14ac:dyDescent="0.3">
      <c r="A90">
        <v>20260226</v>
      </c>
      <c r="B90" t="s">
        <v>24</v>
      </c>
      <c r="C90" t="s">
        <v>11</v>
      </c>
      <c r="E90" t="s">
        <v>12</v>
      </c>
      <c r="F90" t="s">
        <v>13</v>
      </c>
      <c r="G90">
        <v>22.09</v>
      </c>
      <c r="H90" s="1">
        <f>G90/121*21</f>
        <v>3.833801652892562</v>
      </c>
      <c r="J90" t="s">
        <v>14</v>
      </c>
      <c r="K90" t="s">
        <v>153</v>
      </c>
    </row>
    <row r="91" spans="1:11" x14ac:dyDescent="0.3">
      <c r="A91">
        <v>20260226</v>
      </c>
      <c r="B91" t="s">
        <v>22</v>
      </c>
      <c r="C91" t="s">
        <v>11</v>
      </c>
      <c r="E91" t="s">
        <v>12</v>
      </c>
      <c r="F91" t="s">
        <v>13</v>
      </c>
      <c r="G91">
        <v>14.09</v>
      </c>
      <c r="I91" s="1">
        <f>G91/109*9</f>
        <v>1.1633944954128439</v>
      </c>
      <c r="J91" t="s">
        <v>14</v>
      </c>
      <c r="K91" t="s">
        <v>154</v>
      </c>
    </row>
    <row r="92" spans="1:11" x14ac:dyDescent="0.3">
      <c r="A92">
        <v>20260226</v>
      </c>
      <c r="B92" t="s">
        <v>42</v>
      </c>
      <c r="C92" t="s">
        <v>11</v>
      </c>
      <c r="E92" t="s">
        <v>43</v>
      </c>
      <c r="F92" t="s">
        <v>13</v>
      </c>
      <c r="G92">
        <v>44.77</v>
      </c>
      <c r="J92" t="s">
        <v>44</v>
      </c>
      <c r="K92" t="s">
        <v>155</v>
      </c>
    </row>
    <row r="93" spans="1:11" x14ac:dyDescent="0.3">
      <c r="A93">
        <v>20260225</v>
      </c>
      <c r="B93" t="s">
        <v>16</v>
      </c>
      <c r="C93" t="s">
        <v>11</v>
      </c>
      <c r="D93" t="s">
        <v>17</v>
      </c>
      <c r="E93" t="s">
        <v>18</v>
      </c>
      <c r="F93" t="s">
        <v>19</v>
      </c>
      <c r="G93">
        <v>457.12</v>
      </c>
      <c r="J93" t="s">
        <v>20</v>
      </c>
      <c r="K93" t="s">
        <v>156</v>
      </c>
    </row>
    <row r="94" spans="1:11" x14ac:dyDescent="0.3">
      <c r="A94">
        <v>20260224</v>
      </c>
      <c r="B94" t="s">
        <v>10</v>
      </c>
      <c r="C94" t="s">
        <v>11</v>
      </c>
      <c r="E94" t="s">
        <v>12</v>
      </c>
      <c r="F94" t="s">
        <v>13</v>
      </c>
      <c r="G94">
        <v>268.52</v>
      </c>
      <c r="I94">
        <v>22.17</v>
      </c>
      <c r="J94" t="s">
        <v>14</v>
      </c>
      <c r="K94" t="s">
        <v>157</v>
      </c>
    </row>
    <row r="95" spans="1:11" x14ac:dyDescent="0.3">
      <c r="A95">
        <v>20260224</v>
      </c>
      <c r="B95" t="s">
        <v>16</v>
      </c>
      <c r="C95" t="s">
        <v>11</v>
      </c>
      <c r="D95" t="s">
        <v>17</v>
      </c>
      <c r="E95" t="s">
        <v>18</v>
      </c>
      <c r="F95" t="s">
        <v>19</v>
      </c>
      <c r="G95">
        <v>491.06</v>
      </c>
      <c r="J95" t="s">
        <v>20</v>
      </c>
      <c r="K95" t="s">
        <v>158</v>
      </c>
    </row>
    <row r="96" spans="1:11" x14ac:dyDescent="0.3">
      <c r="A96">
        <v>20260224</v>
      </c>
      <c r="B96" t="s">
        <v>22</v>
      </c>
      <c r="C96" t="s">
        <v>11</v>
      </c>
      <c r="E96" t="s">
        <v>12</v>
      </c>
      <c r="F96" t="s">
        <v>13</v>
      </c>
      <c r="G96">
        <v>9.9</v>
      </c>
      <c r="I96" s="1">
        <f>G96/109*9</f>
        <v>0.81743119266055053</v>
      </c>
      <c r="J96" t="s">
        <v>14</v>
      </c>
      <c r="K96" t="s">
        <v>159</v>
      </c>
    </row>
    <row r="97" spans="1:11" x14ac:dyDescent="0.3">
      <c r="A97">
        <v>20260224</v>
      </c>
      <c r="B97" t="s">
        <v>160</v>
      </c>
      <c r="C97" t="s">
        <v>11</v>
      </c>
      <c r="D97" t="s">
        <v>161</v>
      </c>
      <c r="E97" t="s">
        <v>50</v>
      </c>
      <c r="F97" t="s">
        <v>13</v>
      </c>
      <c r="G97">
        <v>74.86</v>
      </c>
      <c r="H97" s="1">
        <f>G97/121*21</f>
        <v>12.992231404958677</v>
      </c>
      <c r="J97" t="s">
        <v>51</v>
      </c>
      <c r="K97" t="s">
        <v>162</v>
      </c>
    </row>
    <row r="98" spans="1:11" x14ac:dyDescent="0.3">
      <c r="A98">
        <v>20260223</v>
      </c>
      <c r="B98" t="s">
        <v>16</v>
      </c>
      <c r="C98" t="s">
        <v>11</v>
      </c>
      <c r="D98" t="s">
        <v>17</v>
      </c>
      <c r="E98" t="s">
        <v>18</v>
      </c>
      <c r="F98" t="s">
        <v>19</v>
      </c>
      <c r="G98">
        <v>2325.42</v>
      </c>
      <c r="J98" t="s">
        <v>20</v>
      </c>
      <c r="K98" t="s">
        <v>163</v>
      </c>
    </row>
    <row r="99" spans="1:11" x14ac:dyDescent="0.3">
      <c r="A99">
        <v>20260222</v>
      </c>
      <c r="B99" t="s">
        <v>22</v>
      </c>
      <c r="C99" t="s">
        <v>11</v>
      </c>
      <c r="E99" t="s">
        <v>12</v>
      </c>
      <c r="F99" t="s">
        <v>13</v>
      </c>
      <c r="G99">
        <v>5.69</v>
      </c>
      <c r="I99" s="1">
        <f t="shared" ref="I99:I100" si="9">G99/109*9</f>
        <v>0.46981651376146794</v>
      </c>
      <c r="J99" t="s">
        <v>14</v>
      </c>
      <c r="K99" t="s">
        <v>164</v>
      </c>
    </row>
    <row r="100" spans="1:11" x14ac:dyDescent="0.3">
      <c r="A100">
        <v>20260222</v>
      </c>
      <c r="B100" t="s">
        <v>22</v>
      </c>
      <c r="C100" t="s">
        <v>11</v>
      </c>
      <c r="E100" t="s">
        <v>12</v>
      </c>
      <c r="F100" t="s">
        <v>13</v>
      </c>
      <c r="G100">
        <v>11.89</v>
      </c>
      <c r="I100" s="1">
        <f t="shared" si="9"/>
        <v>0.98174311926605506</v>
      </c>
      <c r="J100" t="s">
        <v>14</v>
      </c>
      <c r="K100" t="s">
        <v>165</v>
      </c>
    </row>
    <row r="101" spans="1:11" x14ac:dyDescent="0.3">
      <c r="A101">
        <v>20260222</v>
      </c>
      <c r="B101" t="s">
        <v>10</v>
      </c>
      <c r="C101" t="s">
        <v>11</v>
      </c>
      <c r="E101" t="s">
        <v>12</v>
      </c>
      <c r="F101" t="s">
        <v>13</v>
      </c>
      <c r="G101">
        <v>321.81</v>
      </c>
      <c r="I101">
        <v>26.57</v>
      </c>
      <c r="J101" t="s">
        <v>14</v>
      </c>
      <c r="K101" t="s">
        <v>166</v>
      </c>
    </row>
    <row r="102" spans="1:11" x14ac:dyDescent="0.3">
      <c r="A102">
        <v>20260221</v>
      </c>
      <c r="B102" t="s">
        <v>167</v>
      </c>
      <c r="C102" t="s">
        <v>11</v>
      </c>
      <c r="E102" t="s">
        <v>12</v>
      </c>
      <c r="F102" t="s">
        <v>13</v>
      </c>
      <c r="G102">
        <v>491.38</v>
      </c>
      <c r="I102" s="1" t="s">
        <v>361</v>
      </c>
      <c r="J102" t="s">
        <v>14</v>
      </c>
      <c r="K102" t="s">
        <v>168</v>
      </c>
    </row>
    <row r="103" spans="1:11" x14ac:dyDescent="0.3">
      <c r="A103">
        <v>20260220</v>
      </c>
      <c r="B103" t="s">
        <v>16</v>
      </c>
      <c r="C103" t="s">
        <v>11</v>
      </c>
      <c r="D103" t="s">
        <v>17</v>
      </c>
      <c r="E103" t="s">
        <v>18</v>
      </c>
      <c r="F103" t="s">
        <v>19</v>
      </c>
      <c r="G103">
        <v>508.73</v>
      </c>
      <c r="J103" t="s">
        <v>20</v>
      </c>
      <c r="K103" t="s">
        <v>169</v>
      </c>
    </row>
    <row r="104" spans="1:11" x14ac:dyDescent="0.3">
      <c r="A104">
        <v>20260219</v>
      </c>
      <c r="B104" t="s">
        <v>10</v>
      </c>
      <c r="C104" t="s">
        <v>11</v>
      </c>
      <c r="E104" t="s">
        <v>12</v>
      </c>
      <c r="F104" t="s">
        <v>13</v>
      </c>
      <c r="G104">
        <v>446.16</v>
      </c>
      <c r="H104">
        <v>31.96</v>
      </c>
      <c r="I104">
        <v>20.149999999999999</v>
      </c>
      <c r="J104" t="s">
        <v>14</v>
      </c>
      <c r="K104" t="s">
        <v>170</v>
      </c>
    </row>
    <row r="105" spans="1:11" x14ac:dyDescent="0.3">
      <c r="A105">
        <v>20260219</v>
      </c>
      <c r="B105" t="s">
        <v>16</v>
      </c>
      <c r="C105" t="s">
        <v>11</v>
      </c>
      <c r="D105" t="s">
        <v>17</v>
      </c>
      <c r="E105" t="s">
        <v>18</v>
      </c>
      <c r="F105" t="s">
        <v>19</v>
      </c>
      <c r="G105">
        <v>533.67999999999995</v>
      </c>
      <c r="J105" t="s">
        <v>20</v>
      </c>
      <c r="K105" t="s">
        <v>171</v>
      </c>
    </row>
    <row r="106" spans="1:11" x14ac:dyDescent="0.3">
      <c r="A106">
        <v>20260219</v>
      </c>
      <c r="B106" t="s">
        <v>22</v>
      </c>
      <c r="C106" t="s">
        <v>11</v>
      </c>
      <c r="E106" t="s">
        <v>12</v>
      </c>
      <c r="F106" t="s">
        <v>13</v>
      </c>
      <c r="G106">
        <v>12.28</v>
      </c>
      <c r="I106" s="1">
        <f>G106/109*9</f>
        <v>1.0139449541284402</v>
      </c>
      <c r="J106" t="s">
        <v>14</v>
      </c>
      <c r="K106" t="s">
        <v>172</v>
      </c>
    </row>
    <row r="107" spans="1:11" x14ac:dyDescent="0.3">
      <c r="A107">
        <v>20260219</v>
      </c>
      <c r="B107" t="s">
        <v>173</v>
      </c>
      <c r="C107" t="s">
        <v>11</v>
      </c>
      <c r="E107" t="s">
        <v>12</v>
      </c>
      <c r="F107" t="s">
        <v>13</v>
      </c>
      <c r="G107">
        <v>14.9</v>
      </c>
      <c r="H107" s="1">
        <f>G107/121*21</f>
        <v>2.5859504132231406</v>
      </c>
      <c r="J107" t="s">
        <v>14</v>
      </c>
      <c r="K107" t="s">
        <v>174</v>
      </c>
    </row>
    <row r="108" spans="1:11" x14ac:dyDescent="0.3">
      <c r="A108">
        <v>20260218</v>
      </c>
      <c r="B108" t="s">
        <v>16</v>
      </c>
      <c r="C108" t="s">
        <v>11</v>
      </c>
      <c r="D108" t="s">
        <v>17</v>
      </c>
      <c r="E108" t="s">
        <v>18</v>
      </c>
      <c r="F108" t="s">
        <v>19</v>
      </c>
      <c r="G108">
        <v>579.96</v>
      </c>
      <c r="J108" t="s">
        <v>20</v>
      </c>
      <c r="K108" t="s">
        <v>175</v>
      </c>
    </row>
    <row r="109" spans="1:11" x14ac:dyDescent="0.3">
      <c r="A109">
        <v>20260218</v>
      </c>
      <c r="B109" t="s">
        <v>98</v>
      </c>
      <c r="C109" t="s">
        <v>11</v>
      </c>
      <c r="D109" t="s">
        <v>99</v>
      </c>
      <c r="E109" t="s">
        <v>58</v>
      </c>
      <c r="F109" t="s">
        <v>13</v>
      </c>
      <c r="G109">
        <v>1837</v>
      </c>
      <c r="J109" t="s">
        <v>59</v>
      </c>
      <c r="K109" t="s">
        <v>176</v>
      </c>
    </row>
    <row r="110" spans="1:11" x14ac:dyDescent="0.3">
      <c r="A110">
        <v>20260217</v>
      </c>
      <c r="B110" t="s">
        <v>177</v>
      </c>
      <c r="C110" t="s">
        <v>11</v>
      </c>
      <c r="D110" t="s">
        <v>178</v>
      </c>
      <c r="E110" t="s">
        <v>58</v>
      </c>
      <c r="F110" t="s">
        <v>13</v>
      </c>
      <c r="G110">
        <v>381</v>
      </c>
      <c r="I110" s="1">
        <f t="shared" ref="I110:I118" si="10">G110/109*9</f>
        <v>31.458715596330276</v>
      </c>
      <c r="J110" t="s">
        <v>59</v>
      </c>
      <c r="K110" t="s">
        <v>179</v>
      </c>
    </row>
    <row r="111" spans="1:11" x14ac:dyDescent="0.3">
      <c r="A111">
        <v>20260217</v>
      </c>
      <c r="B111" t="s">
        <v>177</v>
      </c>
      <c r="C111" t="s">
        <v>11</v>
      </c>
      <c r="D111" t="s">
        <v>178</v>
      </c>
      <c r="E111" t="s">
        <v>58</v>
      </c>
      <c r="F111" t="s">
        <v>13</v>
      </c>
      <c r="G111">
        <v>243</v>
      </c>
      <c r="I111" s="1">
        <f t="shared" si="10"/>
        <v>20.064220183486242</v>
      </c>
      <c r="J111" t="s">
        <v>59</v>
      </c>
      <c r="K111" t="s">
        <v>180</v>
      </c>
    </row>
    <row r="112" spans="1:11" x14ac:dyDescent="0.3">
      <c r="A112">
        <v>20260217</v>
      </c>
      <c r="B112" t="s">
        <v>177</v>
      </c>
      <c r="C112" t="s">
        <v>11</v>
      </c>
      <c r="D112" t="s">
        <v>178</v>
      </c>
      <c r="E112" t="s">
        <v>58</v>
      </c>
      <c r="F112" t="s">
        <v>13</v>
      </c>
      <c r="G112">
        <v>167.5</v>
      </c>
      <c r="I112" s="1">
        <f t="shared" si="10"/>
        <v>13.830275229357799</v>
      </c>
      <c r="J112" t="s">
        <v>59</v>
      </c>
      <c r="K112" t="s">
        <v>181</v>
      </c>
    </row>
    <row r="113" spans="1:11" x14ac:dyDescent="0.3">
      <c r="A113">
        <v>20260217</v>
      </c>
      <c r="B113" t="s">
        <v>177</v>
      </c>
      <c r="C113" t="s">
        <v>11</v>
      </c>
      <c r="D113" t="s">
        <v>178</v>
      </c>
      <c r="E113" t="s">
        <v>58</v>
      </c>
      <c r="F113" t="s">
        <v>13</v>
      </c>
      <c r="G113">
        <v>262</v>
      </c>
      <c r="I113" s="1">
        <f t="shared" si="10"/>
        <v>21.633027522935777</v>
      </c>
      <c r="J113" t="s">
        <v>59</v>
      </c>
      <c r="K113" t="s">
        <v>182</v>
      </c>
    </row>
    <row r="114" spans="1:11" x14ac:dyDescent="0.3">
      <c r="A114">
        <v>20260217</v>
      </c>
      <c r="B114" t="s">
        <v>177</v>
      </c>
      <c r="C114" t="s">
        <v>11</v>
      </c>
      <c r="D114" t="s">
        <v>178</v>
      </c>
      <c r="E114" t="s">
        <v>58</v>
      </c>
      <c r="F114" t="s">
        <v>13</v>
      </c>
      <c r="G114">
        <v>287</v>
      </c>
      <c r="I114" s="1">
        <f t="shared" si="10"/>
        <v>23.697247706422019</v>
      </c>
      <c r="J114" t="s">
        <v>59</v>
      </c>
      <c r="K114" t="s">
        <v>183</v>
      </c>
    </row>
    <row r="115" spans="1:11" x14ac:dyDescent="0.3">
      <c r="A115">
        <v>20260217</v>
      </c>
      <c r="B115" t="s">
        <v>177</v>
      </c>
      <c r="C115" t="s">
        <v>11</v>
      </c>
      <c r="D115" t="s">
        <v>178</v>
      </c>
      <c r="E115" t="s">
        <v>58</v>
      </c>
      <c r="F115" t="s">
        <v>13</v>
      </c>
      <c r="G115">
        <v>239.75</v>
      </c>
      <c r="I115" s="1">
        <f t="shared" si="10"/>
        <v>19.795871559633028</v>
      </c>
      <c r="J115" t="s">
        <v>59</v>
      </c>
      <c r="K115" t="s">
        <v>184</v>
      </c>
    </row>
    <row r="116" spans="1:11" x14ac:dyDescent="0.3">
      <c r="A116">
        <v>20260217</v>
      </c>
      <c r="B116" t="s">
        <v>177</v>
      </c>
      <c r="C116" t="s">
        <v>11</v>
      </c>
      <c r="D116" t="s">
        <v>178</v>
      </c>
      <c r="E116" t="s">
        <v>58</v>
      </c>
      <c r="F116" t="s">
        <v>13</v>
      </c>
      <c r="G116">
        <v>336.72</v>
      </c>
      <c r="I116" s="1">
        <f t="shared" si="10"/>
        <v>27.802568807339451</v>
      </c>
      <c r="J116" t="s">
        <v>59</v>
      </c>
      <c r="K116" t="s">
        <v>185</v>
      </c>
    </row>
    <row r="117" spans="1:11" x14ac:dyDescent="0.3">
      <c r="A117">
        <v>20260217</v>
      </c>
      <c r="B117" t="s">
        <v>177</v>
      </c>
      <c r="C117" t="s">
        <v>11</v>
      </c>
      <c r="D117" t="s">
        <v>178</v>
      </c>
      <c r="E117" t="s">
        <v>58</v>
      </c>
      <c r="F117" t="s">
        <v>13</v>
      </c>
      <c r="G117">
        <v>287</v>
      </c>
      <c r="I117" s="1">
        <f t="shared" si="10"/>
        <v>23.697247706422019</v>
      </c>
      <c r="J117" t="s">
        <v>59</v>
      </c>
      <c r="K117" t="s">
        <v>186</v>
      </c>
    </row>
    <row r="118" spans="1:11" x14ac:dyDescent="0.3">
      <c r="A118">
        <v>20260217</v>
      </c>
      <c r="B118" t="s">
        <v>177</v>
      </c>
      <c r="C118" t="s">
        <v>11</v>
      </c>
      <c r="D118" t="s">
        <v>178</v>
      </c>
      <c r="E118" t="s">
        <v>58</v>
      </c>
      <c r="F118" t="s">
        <v>13</v>
      </c>
      <c r="G118">
        <v>421.5</v>
      </c>
      <c r="I118" s="1">
        <f t="shared" si="10"/>
        <v>34.802752293577981</v>
      </c>
      <c r="J118" t="s">
        <v>59</v>
      </c>
      <c r="K118" t="s">
        <v>187</v>
      </c>
    </row>
    <row r="119" spans="1:11" x14ac:dyDescent="0.3">
      <c r="A119">
        <v>20260217</v>
      </c>
      <c r="B119" t="s">
        <v>16</v>
      </c>
      <c r="C119" t="s">
        <v>11</v>
      </c>
      <c r="D119" t="s">
        <v>17</v>
      </c>
      <c r="E119" t="s">
        <v>18</v>
      </c>
      <c r="F119" t="s">
        <v>19</v>
      </c>
      <c r="G119">
        <v>595.46</v>
      </c>
      <c r="J119" t="s">
        <v>20</v>
      </c>
      <c r="K119" t="s">
        <v>188</v>
      </c>
    </row>
    <row r="120" spans="1:11" x14ac:dyDescent="0.3">
      <c r="A120">
        <v>20260217</v>
      </c>
      <c r="B120" t="s">
        <v>22</v>
      </c>
      <c r="C120" t="s">
        <v>11</v>
      </c>
      <c r="E120" t="s">
        <v>12</v>
      </c>
      <c r="F120" t="s">
        <v>13</v>
      </c>
      <c r="G120">
        <v>9.9</v>
      </c>
      <c r="I120" s="1">
        <f>G120/109*9</f>
        <v>0.81743119266055053</v>
      </c>
      <c r="J120" t="s">
        <v>14</v>
      </c>
      <c r="K120" t="s">
        <v>189</v>
      </c>
    </row>
    <row r="121" spans="1:11" x14ac:dyDescent="0.3">
      <c r="A121">
        <v>20260217</v>
      </c>
      <c r="B121" t="s">
        <v>190</v>
      </c>
      <c r="C121" t="s">
        <v>11</v>
      </c>
      <c r="E121" t="s">
        <v>12</v>
      </c>
      <c r="F121" t="s">
        <v>13</v>
      </c>
      <c r="G121">
        <v>27.77</v>
      </c>
      <c r="H121" s="1">
        <f>G121/121*21</f>
        <v>4.819586776859504</v>
      </c>
      <c r="J121" t="s">
        <v>14</v>
      </c>
      <c r="K121" t="s">
        <v>191</v>
      </c>
    </row>
    <row r="122" spans="1:11" x14ac:dyDescent="0.3">
      <c r="A122">
        <v>20260217</v>
      </c>
      <c r="B122" t="s">
        <v>10</v>
      </c>
      <c r="C122" t="s">
        <v>11</v>
      </c>
      <c r="E122" t="s">
        <v>12</v>
      </c>
      <c r="F122" t="s">
        <v>13</v>
      </c>
      <c r="G122">
        <v>595.95000000000005</v>
      </c>
      <c r="H122">
        <v>4.18</v>
      </c>
      <c r="I122">
        <v>43.35</v>
      </c>
      <c r="J122" t="s">
        <v>14</v>
      </c>
      <c r="K122" t="s">
        <v>192</v>
      </c>
    </row>
    <row r="123" spans="1:11" x14ac:dyDescent="0.3">
      <c r="A123">
        <v>20260217</v>
      </c>
      <c r="B123" t="s">
        <v>70</v>
      </c>
      <c r="C123" t="s">
        <v>11</v>
      </c>
      <c r="D123" t="s">
        <v>71</v>
      </c>
      <c r="E123" t="s">
        <v>28</v>
      </c>
      <c r="F123" t="s">
        <v>13</v>
      </c>
      <c r="G123">
        <v>45.98</v>
      </c>
      <c r="H123" s="1">
        <f>G123/121*21</f>
        <v>7.9799999999999986</v>
      </c>
      <c r="J123" t="s">
        <v>29</v>
      </c>
      <c r="K123" t="s">
        <v>193</v>
      </c>
    </row>
    <row r="124" spans="1:11" x14ac:dyDescent="0.3">
      <c r="A124">
        <v>20260216</v>
      </c>
      <c r="B124" t="s">
        <v>16</v>
      </c>
      <c r="C124" t="s">
        <v>11</v>
      </c>
      <c r="D124" t="s">
        <v>17</v>
      </c>
      <c r="E124" t="s">
        <v>18</v>
      </c>
      <c r="F124" t="s">
        <v>19</v>
      </c>
      <c r="G124">
        <v>2764.15</v>
      </c>
      <c r="J124" t="s">
        <v>20</v>
      </c>
      <c r="K124" t="s">
        <v>194</v>
      </c>
    </row>
    <row r="125" spans="1:11" x14ac:dyDescent="0.3">
      <c r="A125">
        <v>20260216</v>
      </c>
      <c r="B125" t="s">
        <v>22</v>
      </c>
      <c r="C125" t="s">
        <v>11</v>
      </c>
      <c r="E125" t="s">
        <v>12</v>
      </c>
      <c r="F125" t="s">
        <v>13</v>
      </c>
      <c r="G125">
        <v>6.34</v>
      </c>
      <c r="I125" s="1">
        <f t="shared" ref="I125:I126" si="11">G125/109*9</f>
        <v>0.52348623853211007</v>
      </c>
      <c r="J125" t="s">
        <v>14</v>
      </c>
      <c r="K125" t="s">
        <v>195</v>
      </c>
    </row>
    <row r="126" spans="1:11" x14ac:dyDescent="0.3">
      <c r="A126">
        <v>20260214</v>
      </c>
      <c r="B126" t="s">
        <v>22</v>
      </c>
      <c r="C126" t="s">
        <v>11</v>
      </c>
      <c r="E126" t="s">
        <v>12</v>
      </c>
      <c r="F126" t="s">
        <v>13</v>
      </c>
      <c r="G126">
        <v>3.38</v>
      </c>
      <c r="I126" s="1">
        <f t="shared" si="11"/>
        <v>0.27908256880733945</v>
      </c>
      <c r="J126" t="s">
        <v>14</v>
      </c>
      <c r="K126" t="s">
        <v>196</v>
      </c>
    </row>
    <row r="127" spans="1:11" x14ac:dyDescent="0.3">
      <c r="A127">
        <v>20260214</v>
      </c>
      <c r="B127" t="s">
        <v>24</v>
      </c>
      <c r="C127" t="s">
        <v>11</v>
      </c>
      <c r="E127" t="s">
        <v>12</v>
      </c>
      <c r="F127" t="s">
        <v>13</v>
      </c>
      <c r="G127">
        <v>17.41</v>
      </c>
      <c r="H127" s="1">
        <f>G127/121*21</f>
        <v>3.0215702479338842</v>
      </c>
      <c r="J127" t="s">
        <v>14</v>
      </c>
      <c r="K127" t="s">
        <v>197</v>
      </c>
    </row>
    <row r="128" spans="1:11" x14ac:dyDescent="0.3">
      <c r="A128">
        <v>20260214</v>
      </c>
      <c r="B128" t="s">
        <v>10</v>
      </c>
      <c r="C128" t="s">
        <v>11</v>
      </c>
      <c r="E128" t="s">
        <v>12</v>
      </c>
      <c r="F128" t="s">
        <v>13</v>
      </c>
      <c r="G128">
        <v>410.41</v>
      </c>
      <c r="I128">
        <v>33.89</v>
      </c>
      <c r="J128" t="s">
        <v>14</v>
      </c>
      <c r="K128" t="s">
        <v>198</v>
      </c>
    </row>
    <row r="129" spans="1:11" x14ac:dyDescent="0.3">
      <c r="A129">
        <v>20260213</v>
      </c>
      <c r="B129" t="s">
        <v>16</v>
      </c>
      <c r="C129" t="s">
        <v>11</v>
      </c>
      <c r="D129" t="s">
        <v>17</v>
      </c>
      <c r="E129" t="s">
        <v>18</v>
      </c>
      <c r="F129" t="s">
        <v>19</v>
      </c>
      <c r="G129">
        <v>458.68</v>
      </c>
      <c r="J129" t="s">
        <v>20</v>
      </c>
      <c r="K129" t="s">
        <v>199</v>
      </c>
    </row>
    <row r="130" spans="1:11" x14ac:dyDescent="0.3">
      <c r="A130">
        <v>20260213</v>
      </c>
      <c r="B130" t="s">
        <v>200</v>
      </c>
      <c r="C130" t="s">
        <v>11</v>
      </c>
      <c r="E130" t="s">
        <v>12</v>
      </c>
      <c r="F130" t="s">
        <v>13</v>
      </c>
      <c r="G130">
        <v>13.51</v>
      </c>
      <c r="I130" s="1">
        <f>G130/109*9</f>
        <v>1.1155045871559632</v>
      </c>
      <c r="J130" t="s">
        <v>14</v>
      </c>
      <c r="K130" t="s">
        <v>201</v>
      </c>
    </row>
    <row r="131" spans="1:11" x14ac:dyDescent="0.3">
      <c r="A131">
        <v>20260213</v>
      </c>
      <c r="B131" t="s">
        <v>202</v>
      </c>
      <c r="C131" t="s">
        <v>11</v>
      </c>
      <c r="D131" t="s">
        <v>203</v>
      </c>
      <c r="E131" t="s">
        <v>58</v>
      </c>
      <c r="F131" t="s">
        <v>13</v>
      </c>
      <c r="G131">
        <v>38.270000000000003</v>
      </c>
      <c r="H131" s="1">
        <f>G131/121*21</f>
        <v>6.6419008264462809</v>
      </c>
      <c r="J131" t="s">
        <v>59</v>
      </c>
      <c r="K131" t="s">
        <v>204</v>
      </c>
    </row>
    <row r="132" spans="1:11" x14ac:dyDescent="0.3">
      <c r="A132">
        <v>20260213</v>
      </c>
      <c r="B132" t="s">
        <v>22</v>
      </c>
      <c r="C132" t="s">
        <v>11</v>
      </c>
      <c r="E132" t="s">
        <v>12</v>
      </c>
      <c r="F132" t="s">
        <v>13</v>
      </c>
      <c r="G132">
        <v>9.9</v>
      </c>
      <c r="I132" s="1">
        <f>G132/109*9</f>
        <v>0.81743119266055053</v>
      </c>
      <c r="J132" t="s">
        <v>14</v>
      </c>
      <c r="K132" t="s">
        <v>205</v>
      </c>
    </row>
    <row r="133" spans="1:11" x14ac:dyDescent="0.3">
      <c r="A133">
        <v>20260212</v>
      </c>
      <c r="B133" t="s">
        <v>16</v>
      </c>
      <c r="C133" t="s">
        <v>11</v>
      </c>
      <c r="D133" t="s">
        <v>17</v>
      </c>
      <c r="E133" t="s">
        <v>18</v>
      </c>
      <c r="F133" t="s">
        <v>19</v>
      </c>
      <c r="G133">
        <v>444.29</v>
      </c>
      <c r="J133" t="s">
        <v>20</v>
      </c>
      <c r="K133" t="s">
        <v>206</v>
      </c>
    </row>
    <row r="134" spans="1:11" x14ac:dyDescent="0.3">
      <c r="A134">
        <v>20260212</v>
      </c>
      <c r="B134" t="s">
        <v>10</v>
      </c>
      <c r="C134" t="s">
        <v>11</v>
      </c>
      <c r="E134" t="s">
        <v>12</v>
      </c>
      <c r="F134" t="s">
        <v>13</v>
      </c>
      <c r="G134">
        <v>272.35000000000002</v>
      </c>
      <c r="H134">
        <v>12.37</v>
      </c>
      <c r="I134">
        <v>16.010000000000002</v>
      </c>
      <c r="J134" t="s">
        <v>14</v>
      </c>
      <c r="K134" t="s">
        <v>207</v>
      </c>
    </row>
    <row r="135" spans="1:11" x14ac:dyDescent="0.3">
      <c r="A135">
        <v>20260211</v>
      </c>
      <c r="B135" t="s">
        <v>16</v>
      </c>
      <c r="C135" t="s">
        <v>11</v>
      </c>
      <c r="D135" t="s">
        <v>17</v>
      </c>
      <c r="E135" t="s">
        <v>18</v>
      </c>
      <c r="F135" t="s">
        <v>19</v>
      </c>
      <c r="G135">
        <v>381.33</v>
      </c>
      <c r="J135" t="s">
        <v>20</v>
      </c>
      <c r="K135" t="s">
        <v>208</v>
      </c>
    </row>
    <row r="136" spans="1:11" x14ac:dyDescent="0.3">
      <c r="A136">
        <v>20260211</v>
      </c>
      <c r="B136" t="s">
        <v>22</v>
      </c>
      <c r="C136" t="s">
        <v>11</v>
      </c>
      <c r="E136" t="s">
        <v>12</v>
      </c>
      <c r="F136" t="s">
        <v>13</v>
      </c>
      <c r="G136">
        <v>2.74</v>
      </c>
      <c r="I136" s="1">
        <f>G136/109*9</f>
        <v>0.22623853211009176</v>
      </c>
      <c r="J136" t="s">
        <v>14</v>
      </c>
      <c r="K136" t="s">
        <v>209</v>
      </c>
    </row>
    <row r="137" spans="1:11" x14ac:dyDescent="0.3">
      <c r="A137">
        <v>20260211</v>
      </c>
      <c r="B137" t="s">
        <v>210</v>
      </c>
      <c r="C137" t="s">
        <v>11</v>
      </c>
      <c r="E137" t="s">
        <v>12</v>
      </c>
      <c r="F137" t="s">
        <v>13</v>
      </c>
      <c r="G137">
        <v>8.8000000000000007</v>
      </c>
      <c r="H137" s="1">
        <f>G137/121*21</f>
        <v>1.5272727272727276</v>
      </c>
      <c r="J137" t="s">
        <v>14</v>
      </c>
      <c r="K137" t="s">
        <v>211</v>
      </c>
    </row>
    <row r="138" spans="1:11" x14ac:dyDescent="0.3">
      <c r="A138">
        <v>20260211</v>
      </c>
      <c r="B138" t="s">
        <v>190</v>
      </c>
      <c r="C138" t="s">
        <v>11</v>
      </c>
      <c r="E138" t="s">
        <v>12</v>
      </c>
      <c r="F138" t="s">
        <v>13</v>
      </c>
      <c r="G138">
        <v>15.58</v>
      </c>
      <c r="H138" s="1">
        <f>G138/121*21</f>
        <v>2.7039669421487607</v>
      </c>
      <c r="J138" t="s">
        <v>14</v>
      </c>
      <c r="K138" t="s">
        <v>212</v>
      </c>
    </row>
    <row r="139" spans="1:11" x14ac:dyDescent="0.3">
      <c r="A139">
        <v>20260211</v>
      </c>
      <c r="B139" t="s">
        <v>108</v>
      </c>
      <c r="C139" t="s">
        <v>11</v>
      </c>
      <c r="D139" t="s">
        <v>109</v>
      </c>
      <c r="E139" t="s">
        <v>18</v>
      </c>
      <c r="F139" t="s">
        <v>19</v>
      </c>
      <c r="G139">
        <v>2717.58</v>
      </c>
      <c r="J139" t="s">
        <v>20</v>
      </c>
      <c r="K139" t="s">
        <v>213</v>
      </c>
    </row>
    <row r="140" spans="1:11" x14ac:dyDescent="0.3">
      <c r="A140">
        <v>20260210</v>
      </c>
      <c r="B140" t="s">
        <v>16</v>
      </c>
      <c r="C140" t="s">
        <v>11</v>
      </c>
      <c r="D140" t="s">
        <v>17</v>
      </c>
      <c r="E140" t="s">
        <v>18</v>
      </c>
      <c r="F140" t="s">
        <v>19</v>
      </c>
      <c r="G140">
        <v>347.98</v>
      </c>
      <c r="J140" t="s">
        <v>20</v>
      </c>
      <c r="K140" t="s">
        <v>214</v>
      </c>
    </row>
    <row r="141" spans="1:11" x14ac:dyDescent="0.3">
      <c r="A141">
        <v>20260210</v>
      </c>
      <c r="B141" t="s">
        <v>10</v>
      </c>
      <c r="C141" t="s">
        <v>11</v>
      </c>
      <c r="E141" t="s">
        <v>12</v>
      </c>
      <c r="F141" t="s">
        <v>13</v>
      </c>
      <c r="G141">
        <v>384.88</v>
      </c>
      <c r="I141">
        <v>31.78</v>
      </c>
      <c r="J141" t="s">
        <v>14</v>
      </c>
      <c r="K141" t="s">
        <v>215</v>
      </c>
    </row>
    <row r="142" spans="1:11" x14ac:dyDescent="0.3">
      <c r="A142">
        <v>20260210</v>
      </c>
      <c r="B142" t="s">
        <v>22</v>
      </c>
      <c r="C142" t="s">
        <v>11</v>
      </c>
      <c r="E142" t="s">
        <v>12</v>
      </c>
      <c r="F142" t="s">
        <v>13</v>
      </c>
      <c r="G142">
        <v>5.82</v>
      </c>
      <c r="I142" s="1">
        <f t="shared" ref="I142:I145" si="12">G142/109*9</f>
        <v>0.48055045871559632</v>
      </c>
      <c r="J142" t="s">
        <v>14</v>
      </c>
      <c r="K142" t="s">
        <v>216</v>
      </c>
    </row>
    <row r="143" spans="1:11" x14ac:dyDescent="0.3">
      <c r="A143">
        <v>20260210</v>
      </c>
      <c r="B143" t="s">
        <v>22</v>
      </c>
      <c r="C143" t="s">
        <v>11</v>
      </c>
      <c r="E143" t="s">
        <v>12</v>
      </c>
      <c r="F143" t="s">
        <v>13</v>
      </c>
      <c r="G143">
        <v>4.29</v>
      </c>
      <c r="I143" s="1">
        <f t="shared" si="12"/>
        <v>0.35422018348623857</v>
      </c>
      <c r="J143" t="s">
        <v>14</v>
      </c>
      <c r="K143" t="s">
        <v>217</v>
      </c>
    </row>
    <row r="144" spans="1:11" x14ac:dyDescent="0.3">
      <c r="A144">
        <v>20260210</v>
      </c>
      <c r="B144" t="s">
        <v>22</v>
      </c>
      <c r="C144" t="s">
        <v>11</v>
      </c>
      <c r="E144" t="s">
        <v>12</v>
      </c>
      <c r="F144" t="s">
        <v>13</v>
      </c>
      <c r="G144">
        <v>3.49</v>
      </c>
      <c r="I144" s="1">
        <f t="shared" si="12"/>
        <v>0.28816513761467893</v>
      </c>
      <c r="J144" t="s">
        <v>14</v>
      </c>
      <c r="K144" t="s">
        <v>218</v>
      </c>
    </row>
    <row r="145" spans="1:11" x14ac:dyDescent="0.3">
      <c r="A145">
        <v>20260210</v>
      </c>
      <c r="B145" t="s">
        <v>200</v>
      </c>
      <c r="C145" t="s">
        <v>11</v>
      </c>
      <c r="E145" t="s">
        <v>12</v>
      </c>
      <c r="F145" t="s">
        <v>13</v>
      </c>
      <c r="G145">
        <v>17.98</v>
      </c>
      <c r="I145" s="1">
        <f t="shared" si="12"/>
        <v>1.4845871559633028</v>
      </c>
      <c r="J145" t="s">
        <v>14</v>
      </c>
      <c r="K145" t="s">
        <v>219</v>
      </c>
    </row>
    <row r="146" spans="1:11" x14ac:dyDescent="0.3">
      <c r="A146">
        <v>20260209</v>
      </c>
      <c r="B146" t="s">
        <v>16</v>
      </c>
      <c r="C146" t="s">
        <v>11</v>
      </c>
      <c r="D146" t="s">
        <v>17</v>
      </c>
      <c r="E146" t="s">
        <v>18</v>
      </c>
      <c r="F146" t="s">
        <v>19</v>
      </c>
      <c r="G146">
        <v>3112.31</v>
      </c>
      <c r="J146" t="s">
        <v>20</v>
      </c>
      <c r="K146" t="s">
        <v>220</v>
      </c>
    </row>
    <row r="147" spans="1:11" x14ac:dyDescent="0.3">
      <c r="A147">
        <v>20260209</v>
      </c>
      <c r="B147" t="s">
        <v>35</v>
      </c>
      <c r="C147" t="s">
        <v>11</v>
      </c>
      <c r="E147" t="s">
        <v>12</v>
      </c>
      <c r="F147" t="s">
        <v>13</v>
      </c>
      <c r="G147">
        <v>51.6</v>
      </c>
      <c r="I147" s="1">
        <f>G147/109*9</f>
        <v>4.2605504587155965</v>
      </c>
      <c r="J147" t="s">
        <v>14</v>
      </c>
      <c r="K147" t="s">
        <v>221</v>
      </c>
    </row>
    <row r="148" spans="1:11" x14ac:dyDescent="0.3">
      <c r="A148">
        <v>20260209</v>
      </c>
      <c r="B148" t="s">
        <v>10</v>
      </c>
      <c r="C148" t="s">
        <v>11</v>
      </c>
      <c r="E148" t="s">
        <v>12</v>
      </c>
      <c r="F148" t="s">
        <v>13</v>
      </c>
      <c r="G148">
        <v>246.05</v>
      </c>
      <c r="H148">
        <v>37.590000000000003</v>
      </c>
      <c r="I148">
        <v>2.4300000000000002</v>
      </c>
      <c r="J148" t="s">
        <v>14</v>
      </c>
      <c r="K148" t="s">
        <v>222</v>
      </c>
    </row>
    <row r="149" spans="1:11" x14ac:dyDescent="0.3">
      <c r="A149">
        <v>20260209</v>
      </c>
      <c r="B149" t="s">
        <v>22</v>
      </c>
      <c r="C149" t="s">
        <v>11</v>
      </c>
      <c r="E149" t="s">
        <v>12</v>
      </c>
      <c r="F149" t="s">
        <v>13</v>
      </c>
      <c r="G149">
        <v>21.88</v>
      </c>
      <c r="I149" s="1">
        <f t="shared" ref="I149:I150" si="13">G149/109*9</f>
        <v>1.8066055045871559</v>
      </c>
      <c r="J149" t="s">
        <v>14</v>
      </c>
      <c r="K149" t="s">
        <v>223</v>
      </c>
    </row>
    <row r="150" spans="1:11" x14ac:dyDescent="0.3">
      <c r="A150">
        <v>20260208</v>
      </c>
      <c r="B150" t="s">
        <v>22</v>
      </c>
      <c r="C150" t="s">
        <v>11</v>
      </c>
      <c r="E150" t="s">
        <v>12</v>
      </c>
      <c r="F150" t="s">
        <v>13</v>
      </c>
      <c r="G150">
        <v>1.99</v>
      </c>
      <c r="I150" s="1">
        <f t="shared" si="13"/>
        <v>0.16431192660550459</v>
      </c>
      <c r="J150" t="s">
        <v>14</v>
      </c>
      <c r="K150" t="s">
        <v>224</v>
      </c>
    </row>
    <row r="151" spans="1:11" x14ac:dyDescent="0.3">
      <c r="A151">
        <v>20260207</v>
      </c>
      <c r="B151" t="s">
        <v>10</v>
      </c>
      <c r="C151" t="s">
        <v>11</v>
      </c>
      <c r="E151" t="s">
        <v>12</v>
      </c>
      <c r="F151" t="s">
        <v>13</v>
      </c>
      <c r="G151">
        <v>516</v>
      </c>
      <c r="I151">
        <v>41.42</v>
      </c>
      <c r="J151" t="s">
        <v>14</v>
      </c>
      <c r="K151" t="s">
        <v>225</v>
      </c>
    </row>
    <row r="152" spans="1:11" x14ac:dyDescent="0.3">
      <c r="A152">
        <v>20260207</v>
      </c>
      <c r="B152" t="s">
        <v>22</v>
      </c>
      <c r="C152" t="s">
        <v>11</v>
      </c>
      <c r="E152" t="s">
        <v>12</v>
      </c>
      <c r="F152" t="s">
        <v>13</v>
      </c>
      <c r="G152">
        <v>9.9</v>
      </c>
      <c r="I152" s="1">
        <f t="shared" ref="I152" si="14">G152/109*9</f>
        <v>0.81743119266055053</v>
      </c>
      <c r="J152" t="s">
        <v>14</v>
      </c>
      <c r="K152" t="s">
        <v>226</v>
      </c>
    </row>
    <row r="153" spans="1:11" x14ac:dyDescent="0.3">
      <c r="A153">
        <v>20260207</v>
      </c>
      <c r="B153" t="s">
        <v>227</v>
      </c>
      <c r="C153" t="s">
        <v>11</v>
      </c>
      <c r="E153" t="s">
        <v>12</v>
      </c>
      <c r="F153" t="s">
        <v>13</v>
      </c>
      <c r="G153">
        <v>44</v>
      </c>
      <c r="H153" s="1">
        <f>G153/121*21</f>
        <v>7.6363636363636367</v>
      </c>
      <c r="I153" s="1"/>
      <c r="J153" t="s">
        <v>14</v>
      </c>
      <c r="K153" t="s">
        <v>228</v>
      </c>
    </row>
    <row r="154" spans="1:11" x14ac:dyDescent="0.3">
      <c r="A154">
        <v>20260206</v>
      </c>
      <c r="B154" t="s">
        <v>16</v>
      </c>
      <c r="C154" t="s">
        <v>11</v>
      </c>
      <c r="D154" t="s">
        <v>17</v>
      </c>
      <c r="E154" t="s">
        <v>18</v>
      </c>
      <c r="F154" t="s">
        <v>19</v>
      </c>
      <c r="G154">
        <v>569.85</v>
      </c>
      <c r="J154" t="s">
        <v>20</v>
      </c>
      <c r="K154" t="s">
        <v>229</v>
      </c>
    </row>
    <row r="155" spans="1:11" x14ac:dyDescent="0.3">
      <c r="A155">
        <v>20260206</v>
      </c>
      <c r="B155" t="s">
        <v>230</v>
      </c>
      <c r="C155" t="s">
        <v>11</v>
      </c>
      <c r="D155" t="s">
        <v>231</v>
      </c>
      <c r="E155" t="s">
        <v>58</v>
      </c>
      <c r="F155" t="s">
        <v>13</v>
      </c>
      <c r="G155">
        <v>37.11</v>
      </c>
      <c r="H155" s="1">
        <f>G155/121*21</f>
        <v>6.4405785123966943</v>
      </c>
      <c r="J155" t="s">
        <v>59</v>
      </c>
      <c r="K155" t="s">
        <v>232</v>
      </c>
    </row>
    <row r="156" spans="1:11" x14ac:dyDescent="0.3">
      <c r="A156">
        <v>20260205</v>
      </c>
      <c r="B156" t="s">
        <v>16</v>
      </c>
      <c r="C156" t="s">
        <v>11</v>
      </c>
      <c r="D156" t="s">
        <v>17</v>
      </c>
      <c r="E156" t="s">
        <v>18</v>
      </c>
      <c r="F156" t="s">
        <v>19</v>
      </c>
      <c r="G156">
        <v>675.65</v>
      </c>
      <c r="J156" t="s">
        <v>20</v>
      </c>
      <c r="K156" t="s">
        <v>233</v>
      </c>
    </row>
    <row r="157" spans="1:11" x14ac:dyDescent="0.3">
      <c r="A157">
        <v>20260205</v>
      </c>
      <c r="B157" t="s">
        <v>22</v>
      </c>
      <c r="C157" t="s">
        <v>11</v>
      </c>
      <c r="E157" t="s">
        <v>12</v>
      </c>
      <c r="F157" t="s">
        <v>13</v>
      </c>
      <c r="G157">
        <v>9.9</v>
      </c>
      <c r="I157" s="1">
        <f t="shared" ref="I157:I158" si="15">G157/109*9</f>
        <v>0.81743119266055053</v>
      </c>
      <c r="J157" t="s">
        <v>14</v>
      </c>
      <c r="K157" t="s">
        <v>234</v>
      </c>
    </row>
    <row r="158" spans="1:11" x14ac:dyDescent="0.3">
      <c r="A158">
        <v>20260205</v>
      </c>
      <c r="B158" t="s">
        <v>22</v>
      </c>
      <c r="C158" t="s">
        <v>11</v>
      </c>
      <c r="E158" t="s">
        <v>12</v>
      </c>
      <c r="F158" t="s">
        <v>13</v>
      </c>
      <c r="G158">
        <v>1.44</v>
      </c>
      <c r="I158" s="1">
        <f t="shared" si="15"/>
        <v>0.11889908256880732</v>
      </c>
      <c r="J158" t="s">
        <v>14</v>
      </c>
      <c r="K158" t="s">
        <v>235</v>
      </c>
    </row>
    <row r="159" spans="1:11" x14ac:dyDescent="0.3">
      <c r="A159">
        <v>20260204</v>
      </c>
      <c r="B159" t="s">
        <v>16</v>
      </c>
      <c r="C159" t="s">
        <v>11</v>
      </c>
      <c r="D159" t="s">
        <v>17</v>
      </c>
      <c r="E159" t="s">
        <v>18</v>
      </c>
      <c r="F159" t="s">
        <v>19</v>
      </c>
      <c r="G159">
        <v>508.67</v>
      </c>
      <c r="J159" t="s">
        <v>20</v>
      </c>
      <c r="K159" t="s">
        <v>236</v>
      </c>
    </row>
    <row r="160" spans="1:11" x14ac:dyDescent="0.3">
      <c r="A160">
        <v>20260204</v>
      </c>
      <c r="B160" t="s">
        <v>167</v>
      </c>
      <c r="C160" t="s">
        <v>11</v>
      </c>
      <c r="E160" t="s">
        <v>12</v>
      </c>
      <c r="F160" t="s">
        <v>13</v>
      </c>
      <c r="G160">
        <v>436.51</v>
      </c>
      <c r="I160" s="1">
        <f>G160/109*9</f>
        <v>36.042110091743119</v>
      </c>
      <c r="J160" t="s">
        <v>14</v>
      </c>
      <c r="K160" t="s">
        <v>237</v>
      </c>
    </row>
    <row r="161" spans="1:11" x14ac:dyDescent="0.3">
      <c r="A161">
        <v>20260204</v>
      </c>
      <c r="B161" t="s">
        <v>238</v>
      </c>
      <c r="C161" t="s">
        <v>11</v>
      </c>
      <c r="E161" t="s">
        <v>12</v>
      </c>
      <c r="F161" t="s">
        <v>13</v>
      </c>
      <c r="G161">
        <v>96.07</v>
      </c>
      <c r="I161" s="1">
        <f>G161/109*9</f>
        <v>7.9323853211009174</v>
      </c>
      <c r="J161" t="s">
        <v>14</v>
      </c>
      <c r="K161" t="s">
        <v>239</v>
      </c>
    </row>
    <row r="162" spans="1:11" x14ac:dyDescent="0.3">
      <c r="A162">
        <v>20260204</v>
      </c>
      <c r="B162" t="s">
        <v>24</v>
      </c>
      <c r="C162" t="s">
        <v>11</v>
      </c>
      <c r="E162" t="s">
        <v>12</v>
      </c>
      <c r="F162" t="s">
        <v>13</v>
      </c>
      <c r="G162">
        <v>20.61</v>
      </c>
      <c r="H162" s="1">
        <f>G162/121*21</f>
        <v>3.5769421487603306</v>
      </c>
      <c r="J162" t="s">
        <v>14</v>
      </c>
      <c r="K162" t="s">
        <v>240</v>
      </c>
    </row>
    <row r="163" spans="1:11" x14ac:dyDescent="0.3">
      <c r="A163">
        <v>20260204</v>
      </c>
      <c r="B163" t="s">
        <v>22</v>
      </c>
      <c r="C163" t="s">
        <v>11</v>
      </c>
      <c r="E163" t="s">
        <v>12</v>
      </c>
      <c r="F163" t="s">
        <v>13</v>
      </c>
      <c r="G163">
        <v>6.98</v>
      </c>
      <c r="I163" s="1">
        <f>G163/109*9</f>
        <v>0.57633027522935787</v>
      </c>
      <c r="J163" t="s">
        <v>14</v>
      </c>
      <c r="K163" t="s">
        <v>241</v>
      </c>
    </row>
    <row r="164" spans="1:11" x14ac:dyDescent="0.3">
      <c r="A164">
        <v>20260203</v>
      </c>
      <c r="B164" t="s">
        <v>10</v>
      </c>
      <c r="C164" t="s">
        <v>11</v>
      </c>
      <c r="E164" t="s">
        <v>12</v>
      </c>
      <c r="F164" t="s">
        <v>13</v>
      </c>
      <c r="G164">
        <v>371.8</v>
      </c>
      <c r="I164">
        <v>30.7</v>
      </c>
      <c r="J164" t="s">
        <v>14</v>
      </c>
      <c r="K164" t="s">
        <v>242</v>
      </c>
    </row>
    <row r="165" spans="1:11" x14ac:dyDescent="0.3">
      <c r="A165">
        <v>20260203</v>
      </c>
      <c r="B165" t="s">
        <v>16</v>
      </c>
      <c r="C165" t="s">
        <v>11</v>
      </c>
      <c r="D165" t="s">
        <v>17</v>
      </c>
      <c r="E165" t="s">
        <v>18</v>
      </c>
      <c r="F165" t="s">
        <v>19</v>
      </c>
      <c r="G165">
        <v>463.43</v>
      </c>
      <c r="J165" t="s">
        <v>20</v>
      </c>
      <c r="K165" t="s">
        <v>243</v>
      </c>
    </row>
    <row r="166" spans="1:11" x14ac:dyDescent="0.3">
      <c r="A166">
        <v>20260203</v>
      </c>
      <c r="B166" t="s">
        <v>35</v>
      </c>
      <c r="C166" t="s">
        <v>11</v>
      </c>
      <c r="E166" t="s">
        <v>12</v>
      </c>
      <c r="F166" t="s">
        <v>13</v>
      </c>
      <c r="G166">
        <v>16.62</v>
      </c>
      <c r="I166" s="1">
        <f>G166/109*9</f>
        <v>1.3722935779816516</v>
      </c>
      <c r="J166" t="s">
        <v>14</v>
      </c>
      <c r="K166" t="s">
        <v>244</v>
      </c>
    </row>
    <row r="167" spans="1:11" x14ac:dyDescent="0.3">
      <c r="A167">
        <v>20260203</v>
      </c>
      <c r="B167" t="s">
        <v>22</v>
      </c>
      <c r="C167" t="s">
        <v>11</v>
      </c>
      <c r="E167" t="s">
        <v>12</v>
      </c>
      <c r="F167" t="s">
        <v>13</v>
      </c>
      <c r="G167">
        <v>11.89</v>
      </c>
      <c r="I167" s="1">
        <f>G167/109*9</f>
        <v>0.98174311926605506</v>
      </c>
      <c r="J167" t="s">
        <v>14</v>
      </c>
      <c r="K167" t="s">
        <v>245</v>
      </c>
    </row>
    <row r="168" spans="1:11" x14ac:dyDescent="0.3">
      <c r="A168">
        <v>20260203</v>
      </c>
      <c r="B168" t="s">
        <v>246</v>
      </c>
      <c r="C168" t="s">
        <v>11</v>
      </c>
      <c r="D168" t="s">
        <v>247</v>
      </c>
      <c r="E168" t="s">
        <v>58</v>
      </c>
      <c r="F168" t="s">
        <v>13</v>
      </c>
      <c r="G168">
        <v>707.96</v>
      </c>
      <c r="I168">
        <v>81.510000000000005</v>
      </c>
      <c r="J168" t="s">
        <v>59</v>
      </c>
      <c r="K168" t="s">
        <v>248</v>
      </c>
    </row>
    <row r="169" spans="1:11" x14ac:dyDescent="0.3">
      <c r="A169">
        <v>20260203</v>
      </c>
      <c r="B169" t="s">
        <v>116</v>
      </c>
      <c r="C169" t="s">
        <v>11</v>
      </c>
      <c r="D169" t="s">
        <v>117</v>
      </c>
      <c r="E169" t="s">
        <v>28</v>
      </c>
      <c r="F169" t="s">
        <v>13</v>
      </c>
      <c r="G169">
        <v>21.99</v>
      </c>
      <c r="H169" s="1">
        <f>G169/121*21</f>
        <v>3.8164462809917348</v>
      </c>
      <c r="J169" t="s">
        <v>29</v>
      </c>
      <c r="K169" t="s">
        <v>249</v>
      </c>
    </row>
    <row r="170" spans="1:11" x14ac:dyDescent="0.3">
      <c r="A170">
        <v>20260202</v>
      </c>
      <c r="B170" t="s">
        <v>16</v>
      </c>
      <c r="C170" t="s">
        <v>11</v>
      </c>
      <c r="D170" t="s">
        <v>17</v>
      </c>
      <c r="E170" t="s">
        <v>18</v>
      </c>
      <c r="F170" t="s">
        <v>19</v>
      </c>
      <c r="G170">
        <v>2219.5700000000002</v>
      </c>
      <c r="J170" t="s">
        <v>20</v>
      </c>
      <c r="K170" t="s">
        <v>250</v>
      </c>
    </row>
    <row r="171" spans="1:11" x14ac:dyDescent="0.3">
      <c r="A171">
        <v>20260202</v>
      </c>
      <c r="B171" t="s">
        <v>141</v>
      </c>
      <c r="C171" t="s">
        <v>11</v>
      </c>
      <c r="D171" t="s">
        <v>142</v>
      </c>
      <c r="E171" t="s">
        <v>58</v>
      </c>
      <c r="F171" t="s">
        <v>13</v>
      </c>
      <c r="G171">
        <v>416.6</v>
      </c>
      <c r="J171" t="s">
        <v>59</v>
      </c>
      <c r="K171" t="s">
        <v>251</v>
      </c>
    </row>
    <row r="172" spans="1:11" x14ac:dyDescent="0.3">
      <c r="A172">
        <v>20260202</v>
      </c>
      <c r="B172" t="s">
        <v>138</v>
      </c>
      <c r="C172" t="s">
        <v>11</v>
      </c>
      <c r="D172" t="s">
        <v>139</v>
      </c>
      <c r="E172" t="s">
        <v>58</v>
      </c>
      <c r="F172" t="s">
        <v>13</v>
      </c>
      <c r="G172">
        <v>590.79999999999995</v>
      </c>
      <c r="J172" t="s">
        <v>59</v>
      </c>
      <c r="K172" t="s">
        <v>252</v>
      </c>
    </row>
    <row r="173" spans="1:11" x14ac:dyDescent="0.3">
      <c r="A173">
        <v>20260202</v>
      </c>
      <c r="B173" t="s">
        <v>135</v>
      </c>
      <c r="C173" t="s">
        <v>11</v>
      </c>
      <c r="D173" t="s">
        <v>136</v>
      </c>
      <c r="E173" t="s">
        <v>58</v>
      </c>
      <c r="F173" t="s">
        <v>13</v>
      </c>
      <c r="G173">
        <v>852.11</v>
      </c>
      <c r="J173" t="s">
        <v>59</v>
      </c>
      <c r="K173" t="s">
        <v>253</v>
      </c>
    </row>
    <row r="174" spans="1:11" x14ac:dyDescent="0.3">
      <c r="A174">
        <v>20260202</v>
      </c>
      <c r="B174" t="s">
        <v>120</v>
      </c>
      <c r="C174" t="s">
        <v>11</v>
      </c>
      <c r="D174" t="s">
        <v>121</v>
      </c>
      <c r="E174" t="s">
        <v>58</v>
      </c>
      <c r="F174" t="s">
        <v>13</v>
      </c>
      <c r="G174">
        <v>1321.49</v>
      </c>
      <c r="J174" t="s">
        <v>59</v>
      </c>
      <c r="K174" t="s">
        <v>254</v>
      </c>
    </row>
    <row r="175" spans="1:11" x14ac:dyDescent="0.3">
      <c r="A175">
        <v>20260202</v>
      </c>
      <c r="B175" t="s">
        <v>132</v>
      </c>
      <c r="C175" t="s">
        <v>11</v>
      </c>
      <c r="D175" t="s">
        <v>133</v>
      </c>
      <c r="E175" t="s">
        <v>58</v>
      </c>
      <c r="F175" t="s">
        <v>13</v>
      </c>
      <c r="G175">
        <v>2231.88</v>
      </c>
      <c r="J175" t="s">
        <v>59</v>
      </c>
      <c r="K175" t="s">
        <v>255</v>
      </c>
    </row>
    <row r="176" spans="1:11" x14ac:dyDescent="0.3">
      <c r="A176">
        <v>20260202</v>
      </c>
      <c r="B176" t="s">
        <v>126</v>
      </c>
      <c r="C176" t="s">
        <v>11</v>
      </c>
      <c r="D176" t="s">
        <v>127</v>
      </c>
      <c r="E176" t="s">
        <v>58</v>
      </c>
      <c r="F176" t="s">
        <v>13</v>
      </c>
      <c r="G176">
        <v>666.53</v>
      </c>
      <c r="J176" t="s">
        <v>59</v>
      </c>
      <c r="K176" t="s">
        <v>256</v>
      </c>
    </row>
    <row r="177" spans="1:11" x14ac:dyDescent="0.3">
      <c r="A177">
        <v>20260202</v>
      </c>
      <c r="B177" t="s">
        <v>129</v>
      </c>
      <c r="C177" t="s">
        <v>11</v>
      </c>
      <c r="D177" t="s">
        <v>130</v>
      </c>
      <c r="E177" t="s">
        <v>58</v>
      </c>
      <c r="F177" t="s">
        <v>13</v>
      </c>
      <c r="G177">
        <v>625.92999999999995</v>
      </c>
      <c r="J177" t="s">
        <v>59</v>
      </c>
      <c r="K177" t="s">
        <v>257</v>
      </c>
    </row>
    <row r="178" spans="1:11" x14ac:dyDescent="0.3">
      <c r="A178">
        <v>20260202</v>
      </c>
      <c r="B178" t="s">
        <v>123</v>
      </c>
      <c r="C178" t="s">
        <v>11</v>
      </c>
      <c r="D178" t="s">
        <v>124</v>
      </c>
      <c r="E178" t="s">
        <v>58</v>
      </c>
      <c r="F178" t="s">
        <v>13</v>
      </c>
      <c r="G178">
        <v>772.58</v>
      </c>
      <c r="J178" t="s">
        <v>59</v>
      </c>
      <c r="K178" t="s">
        <v>258</v>
      </c>
    </row>
    <row r="179" spans="1:11" x14ac:dyDescent="0.3">
      <c r="A179">
        <v>20260201</v>
      </c>
      <c r="B179" t="s">
        <v>22</v>
      </c>
      <c r="C179" t="s">
        <v>11</v>
      </c>
      <c r="E179" t="s">
        <v>12</v>
      </c>
      <c r="F179" t="s">
        <v>13</v>
      </c>
      <c r="G179">
        <v>5.87</v>
      </c>
      <c r="I179" s="1">
        <f t="shared" ref="I179:I180" si="16">G179/109*9</f>
        <v>0.48467889908256878</v>
      </c>
      <c r="J179" t="s">
        <v>14</v>
      </c>
      <c r="K179" t="s">
        <v>259</v>
      </c>
    </row>
    <row r="180" spans="1:11" x14ac:dyDescent="0.3">
      <c r="A180">
        <v>20260201</v>
      </c>
      <c r="B180" t="s">
        <v>22</v>
      </c>
      <c r="C180" t="s">
        <v>11</v>
      </c>
      <c r="E180" t="s">
        <v>12</v>
      </c>
      <c r="F180" t="s">
        <v>13</v>
      </c>
      <c r="G180">
        <v>14.87</v>
      </c>
      <c r="I180" s="1">
        <f t="shared" si="16"/>
        <v>1.2277981651376146</v>
      </c>
      <c r="J180" t="s">
        <v>14</v>
      </c>
      <c r="K180" t="s">
        <v>260</v>
      </c>
    </row>
    <row r="181" spans="1:11" x14ac:dyDescent="0.3">
      <c r="A181">
        <v>20260201</v>
      </c>
      <c r="B181" t="s">
        <v>35</v>
      </c>
      <c r="C181" t="s">
        <v>11</v>
      </c>
      <c r="E181" t="s">
        <v>12</v>
      </c>
      <c r="F181" t="s">
        <v>13</v>
      </c>
      <c r="G181">
        <v>49.64</v>
      </c>
      <c r="I181" s="1">
        <f>G181/109*9</f>
        <v>4.0987155963302753</v>
      </c>
      <c r="J181" t="s">
        <v>14</v>
      </c>
      <c r="K181" t="s">
        <v>261</v>
      </c>
    </row>
    <row r="182" spans="1:11" x14ac:dyDescent="0.3">
      <c r="A182">
        <v>20260201</v>
      </c>
      <c r="B182" t="s">
        <v>10</v>
      </c>
      <c r="C182" t="s">
        <v>11</v>
      </c>
      <c r="E182" t="s">
        <v>12</v>
      </c>
      <c r="F182" t="s">
        <v>13</v>
      </c>
      <c r="G182">
        <v>384.88</v>
      </c>
      <c r="H182">
        <v>3.58</v>
      </c>
      <c r="I182">
        <v>30.07</v>
      </c>
      <c r="J182" t="s">
        <v>14</v>
      </c>
      <c r="K182" t="s">
        <v>262</v>
      </c>
    </row>
    <row r="183" spans="1:11" x14ac:dyDescent="0.3">
      <c r="A183">
        <v>20260131</v>
      </c>
      <c r="B183" t="s">
        <v>22</v>
      </c>
      <c r="C183" t="s">
        <v>11</v>
      </c>
      <c r="E183" t="s">
        <v>12</v>
      </c>
      <c r="F183" t="s">
        <v>13</v>
      </c>
      <c r="G183">
        <v>4.49</v>
      </c>
      <c r="I183" s="1">
        <f>G183/109*9</f>
        <v>0.37073394495412848</v>
      </c>
      <c r="J183" t="s">
        <v>14</v>
      </c>
      <c r="K183" t="s">
        <v>263</v>
      </c>
    </row>
    <row r="184" spans="1:11" x14ac:dyDescent="0.3">
      <c r="A184">
        <v>20260130</v>
      </c>
      <c r="B184" t="s">
        <v>16</v>
      </c>
      <c r="C184" t="s">
        <v>11</v>
      </c>
      <c r="D184" t="s">
        <v>17</v>
      </c>
      <c r="E184" t="s">
        <v>18</v>
      </c>
      <c r="F184" t="s">
        <v>19</v>
      </c>
      <c r="G184">
        <v>616.63</v>
      </c>
      <c r="J184" t="s">
        <v>20</v>
      </c>
      <c r="K184" t="s">
        <v>264</v>
      </c>
    </row>
    <row r="185" spans="1:11" x14ac:dyDescent="0.3">
      <c r="A185">
        <v>20260130</v>
      </c>
      <c r="B185" t="s">
        <v>26</v>
      </c>
      <c r="C185" t="s">
        <v>11</v>
      </c>
      <c r="D185" t="s">
        <v>27</v>
      </c>
      <c r="E185" t="s">
        <v>28</v>
      </c>
      <c r="F185" t="s">
        <v>13</v>
      </c>
      <c r="G185">
        <v>604.05999999999995</v>
      </c>
      <c r="J185" t="s">
        <v>29</v>
      </c>
      <c r="K185" t="s">
        <v>265</v>
      </c>
    </row>
    <row r="186" spans="1:11" x14ac:dyDescent="0.3">
      <c r="A186">
        <v>20260129</v>
      </c>
      <c r="B186" t="s">
        <v>10</v>
      </c>
      <c r="C186" t="s">
        <v>11</v>
      </c>
      <c r="E186" t="s">
        <v>12</v>
      </c>
      <c r="F186" t="s">
        <v>13</v>
      </c>
      <c r="G186">
        <v>234.13</v>
      </c>
      <c r="H186">
        <v>7.83</v>
      </c>
      <c r="I186">
        <v>15.61</v>
      </c>
      <c r="J186" t="s">
        <v>14</v>
      </c>
      <c r="K186" t="s">
        <v>266</v>
      </c>
    </row>
    <row r="187" spans="1:11" x14ac:dyDescent="0.3">
      <c r="A187">
        <v>20260129</v>
      </c>
      <c r="B187" t="s">
        <v>16</v>
      </c>
      <c r="C187" t="s">
        <v>11</v>
      </c>
      <c r="D187" t="s">
        <v>17</v>
      </c>
      <c r="E187" t="s">
        <v>18</v>
      </c>
      <c r="F187" t="s">
        <v>19</v>
      </c>
      <c r="G187">
        <v>664.83</v>
      </c>
      <c r="J187" t="s">
        <v>20</v>
      </c>
      <c r="K187" t="s">
        <v>267</v>
      </c>
    </row>
    <row r="188" spans="1:11" x14ac:dyDescent="0.3">
      <c r="A188">
        <v>20260129</v>
      </c>
      <c r="B188" t="s">
        <v>22</v>
      </c>
      <c r="C188" t="s">
        <v>11</v>
      </c>
      <c r="E188" t="s">
        <v>12</v>
      </c>
      <c r="F188" t="s">
        <v>13</v>
      </c>
      <c r="G188">
        <v>11.09</v>
      </c>
      <c r="I188" s="1">
        <f>G188/109*9</f>
        <v>0.91568807339449543</v>
      </c>
      <c r="J188" t="s">
        <v>14</v>
      </c>
      <c r="K188" t="s">
        <v>268</v>
      </c>
    </row>
    <row r="189" spans="1:11" x14ac:dyDescent="0.3">
      <c r="A189">
        <v>20260128</v>
      </c>
      <c r="B189" t="s">
        <v>269</v>
      </c>
      <c r="C189" t="s">
        <v>11</v>
      </c>
      <c r="D189" t="s">
        <v>270</v>
      </c>
      <c r="E189" t="s">
        <v>58</v>
      </c>
      <c r="F189" t="s">
        <v>13</v>
      </c>
      <c r="G189">
        <v>5847.93</v>
      </c>
      <c r="H189" s="1">
        <f>G189/121*21</f>
        <v>1014.9300000000001</v>
      </c>
      <c r="J189" t="s">
        <v>59</v>
      </c>
      <c r="K189" t="s">
        <v>271</v>
      </c>
    </row>
    <row r="190" spans="1:11" x14ac:dyDescent="0.3">
      <c r="A190">
        <v>20260128</v>
      </c>
      <c r="B190" t="s">
        <v>16</v>
      </c>
      <c r="C190" t="s">
        <v>11</v>
      </c>
      <c r="D190" t="s">
        <v>17</v>
      </c>
      <c r="E190" t="s">
        <v>18</v>
      </c>
      <c r="F190" t="s">
        <v>19</v>
      </c>
      <c r="G190">
        <v>456.72</v>
      </c>
      <c r="J190" t="s">
        <v>20</v>
      </c>
      <c r="K190" t="s">
        <v>272</v>
      </c>
    </row>
    <row r="191" spans="1:11" x14ac:dyDescent="0.3">
      <c r="A191">
        <v>20260127</v>
      </c>
      <c r="B191" t="s">
        <v>16</v>
      </c>
      <c r="C191" t="s">
        <v>11</v>
      </c>
      <c r="D191" t="s">
        <v>17</v>
      </c>
      <c r="E191" t="s">
        <v>18</v>
      </c>
      <c r="F191" t="s">
        <v>19</v>
      </c>
      <c r="G191">
        <v>423.91</v>
      </c>
      <c r="J191" t="s">
        <v>20</v>
      </c>
      <c r="K191" t="s">
        <v>273</v>
      </c>
    </row>
    <row r="192" spans="1:11" x14ac:dyDescent="0.3">
      <c r="A192">
        <v>20260127</v>
      </c>
      <c r="B192" t="s">
        <v>10</v>
      </c>
      <c r="C192" t="s">
        <v>11</v>
      </c>
      <c r="E192" t="s">
        <v>12</v>
      </c>
      <c r="F192" t="s">
        <v>13</v>
      </c>
      <c r="G192">
        <v>54.39</v>
      </c>
      <c r="I192" s="1">
        <f>G192/109*9</f>
        <v>4.4909174311926607</v>
      </c>
      <c r="J192" t="s">
        <v>14</v>
      </c>
      <c r="K192" t="s">
        <v>274</v>
      </c>
    </row>
    <row r="193" spans="1:11" x14ac:dyDescent="0.3">
      <c r="A193">
        <v>20260127</v>
      </c>
      <c r="B193" t="s">
        <v>22</v>
      </c>
      <c r="C193" t="s">
        <v>11</v>
      </c>
      <c r="E193" t="s">
        <v>12</v>
      </c>
      <c r="F193" t="s">
        <v>13</v>
      </c>
      <c r="G193">
        <v>17.45</v>
      </c>
      <c r="I193" s="1">
        <f t="shared" ref="I193:I194" si="17">G193/109*9</f>
        <v>1.4408256880733945</v>
      </c>
      <c r="J193" t="s">
        <v>14</v>
      </c>
      <c r="K193" t="s">
        <v>275</v>
      </c>
    </row>
    <row r="194" spans="1:11" x14ac:dyDescent="0.3">
      <c r="A194">
        <v>20260127</v>
      </c>
      <c r="B194" t="s">
        <v>22</v>
      </c>
      <c r="C194" t="s">
        <v>11</v>
      </c>
      <c r="E194" t="s">
        <v>12</v>
      </c>
      <c r="F194" t="s">
        <v>13</v>
      </c>
      <c r="G194">
        <v>3.99</v>
      </c>
      <c r="I194" s="1">
        <f t="shared" si="17"/>
        <v>0.32944954128440368</v>
      </c>
      <c r="J194" t="s">
        <v>14</v>
      </c>
      <c r="K194" t="s">
        <v>276</v>
      </c>
    </row>
    <row r="195" spans="1:11" x14ac:dyDescent="0.3">
      <c r="A195">
        <v>20260126</v>
      </c>
      <c r="B195" t="s">
        <v>16</v>
      </c>
      <c r="C195" t="s">
        <v>11</v>
      </c>
      <c r="D195" t="s">
        <v>17</v>
      </c>
      <c r="E195" t="s">
        <v>18</v>
      </c>
      <c r="F195" t="s">
        <v>19</v>
      </c>
      <c r="G195">
        <v>2460.08</v>
      </c>
      <c r="J195" t="s">
        <v>20</v>
      </c>
      <c r="K195" t="s">
        <v>277</v>
      </c>
    </row>
    <row r="196" spans="1:11" x14ac:dyDescent="0.3">
      <c r="A196">
        <v>20260126</v>
      </c>
      <c r="B196" t="s">
        <v>10</v>
      </c>
      <c r="C196" t="s">
        <v>11</v>
      </c>
      <c r="E196" t="s">
        <v>12</v>
      </c>
      <c r="F196" t="s">
        <v>13</v>
      </c>
      <c r="G196">
        <v>371.8</v>
      </c>
      <c r="I196">
        <v>30.7</v>
      </c>
      <c r="J196" t="s">
        <v>14</v>
      </c>
      <c r="K196" t="s">
        <v>278</v>
      </c>
    </row>
    <row r="197" spans="1:11" x14ac:dyDescent="0.3">
      <c r="A197">
        <v>20260126</v>
      </c>
      <c r="B197" t="s">
        <v>279</v>
      </c>
      <c r="C197" t="s">
        <v>11</v>
      </c>
      <c r="D197" t="s">
        <v>57</v>
      </c>
      <c r="E197" t="s">
        <v>58</v>
      </c>
      <c r="F197" t="s">
        <v>13</v>
      </c>
      <c r="G197">
        <v>5318.19</v>
      </c>
      <c r="H197" s="1">
        <f>G197/121*21</f>
        <v>922.99165289256189</v>
      </c>
      <c r="J197" t="s">
        <v>59</v>
      </c>
      <c r="K197" t="s">
        <v>280</v>
      </c>
    </row>
    <row r="198" spans="1:11" x14ac:dyDescent="0.3">
      <c r="A198">
        <v>20260126</v>
      </c>
      <c r="B198" t="s">
        <v>42</v>
      </c>
      <c r="C198" t="s">
        <v>11</v>
      </c>
      <c r="E198" t="s">
        <v>43</v>
      </c>
      <c r="F198" t="s">
        <v>13</v>
      </c>
      <c r="G198">
        <v>38.72</v>
      </c>
      <c r="J198" t="s">
        <v>44</v>
      </c>
      <c r="K198" t="s">
        <v>281</v>
      </c>
    </row>
    <row r="199" spans="1:11" x14ac:dyDescent="0.3">
      <c r="A199">
        <v>20260125</v>
      </c>
      <c r="B199" t="s">
        <v>22</v>
      </c>
      <c r="C199" t="s">
        <v>11</v>
      </c>
      <c r="E199" t="s">
        <v>12</v>
      </c>
      <c r="F199" t="s">
        <v>13</v>
      </c>
      <c r="G199">
        <v>9.9</v>
      </c>
      <c r="I199" s="1">
        <f>G199/109*9</f>
        <v>0.81743119266055053</v>
      </c>
      <c r="J199" t="s">
        <v>14</v>
      </c>
      <c r="K199" t="s">
        <v>282</v>
      </c>
    </row>
    <row r="200" spans="1:11" x14ac:dyDescent="0.3">
      <c r="A200">
        <v>20260124</v>
      </c>
      <c r="B200" t="s">
        <v>10</v>
      </c>
      <c r="C200" t="s">
        <v>11</v>
      </c>
      <c r="E200" t="s">
        <v>12</v>
      </c>
      <c r="F200" t="s">
        <v>13</v>
      </c>
      <c r="G200">
        <v>123.87</v>
      </c>
      <c r="I200">
        <v>10.23</v>
      </c>
      <c r="J200" t="s">
        <v>14</v>
      </c>
      <c r="K200" t="s">
        <v>283</v>
      </c>
    </row>
    <row r="201" spans="1:11" x14ac:dyDescent="0.3">
      <c r="A201">
        <v>20260124</v>
      </c>
      <c r="B201" t="s">
        <v>35</v>
      </c>
      <c r="C201" t="s">
        <v>11</v>
      </c>
      <c r="E201" t="s">
        <v>12</v>
      </c>
      <c r="F201" t="s">
        <v>13</v>
      </c>
      <c r="G201">
        <v>66.84</v>
      </c>
      <c r="I201" s="1">
        <f>G201/109*9</f>
        <v>5.5188990825688071</v>
      </c>
      <c r="J201" t="s">
        <v>14</v>
      </c>
      <c r="K201" t="s">
        <v>284</v>
      </c>
    </row>
    <row r="202" spans="1:11" x14ac:dyDescent="0.3">
      <c r="A202">
        <v>20260124</v>
      </c>
      <c r="B202" t="s">
        <v>22</v>
      </c>
      <c r="C202" t="s">
        <v>11</v>
      </c>
      <c r="E202" t="s">
        <v>12</v>
      </c>
      <c r="F202" t="s">
        <v>13</v>
      </c>
      <c r="G202">
        <v>9.9</v>
      </c>
      <c r="I202" s="1">
        <f>G202/109*9</f>
        <v>0.81743119266055053</v>
      </c>
      <c r="J202" t="s">
        <v>14</v>
      </c>
      <c r="K202" t="s">
        <v>285</v>
      </c>
    </row>
    <row r="203" spans="1:11" x14ac:dyDescent="0.3">
      <c r="A203">
        <v>20260123</v>
      </c>
      <c r="B203" t="s">
        <v>16</v>
      </c>
      <c r="C203" t="s">
        <v>11</v>
      </c>
      <c r="D203" t="s">
        <v>17</v>
      </c>
      <c r="E203" t="s">
        <v>18</v>
      </c>
      <c r="F203" t="s">
        <v>19</v>
      </c>
      <c r="G203">
        <v>471.35</v>
      </c>
      <c r="J203" t="s">
        <v>20</v>
      </c>
      <c r="K203" t="s">
        <v>286</v>
      </c>
    </row>
    <row r="204" spans="1:11" x14ac:dyDescent="0.3">
      <c r="A204">
        <v>20260123</v>
      </c>
      <c r="B204" t="s">
        <v>22</v>
      </c>
      <c r="C204" t="s">
        <v>11</v>
      </c>
      <c r="E204" t="s">
        <v>12</v>
      </c>
      <c r="F204" t="s">
        <v>13</v>
      </c>
      <c r="G204">
        <v>3.58</v>
      </c>
      <c r="I204" s="1">
        <f>G204/109*9</f>
        <v>0.29559633027522936</v>
      </c>
      <c r="J204" t="s">
        <v>14</v>
      </c>
      <c r="K204" t="s">
        <v>287</v>
      </c>
    </row>
    <row r="205" spans="1:11" x14ac:dyDescent="0.3">
      <c r="A205">
        <v>20260122</v>
      </c>
      <c r="B205" t="s">
        <v>10</v>
      </c>
      <c r="C205" t="s">
        <v>11</v>
      </c>
      <c r="E205" t="s">
        <v>12</v>
      </c>
      <c r="F205" t="s">
        <v>13</v>
      </c>
      <c r="G205">
        <v>530.86</v>
      </c>
      <c r="H205">
        <v>13.27</v>
      </c>
      <c r="I205">
        <v>37.520000000000003</v>
      </c>
      <c r="J205" t="s">
        <v>14</v>
      </c>
      <c r="K205" t="s">
        <v>288</v>
      </c>
    </row>
    <row r="206" spans="1:11" x14ac:dyDescent="0.3">
      <c r="A206">
        <v>20260122</v>
      </c>
      <c r="B206" t="s">
        <v>22</v>
      </c>
      <c r="C206" t="s">
        <v>11</v>
      </c>
      <c r="E206" t="s">
        <v>12</v>
      </c>
      <c r="F206" t="s">
        <v>13</v>
      </c>
      <c r="G206">
        <v>11.89</v>
      </c>
      <c r="I206" s="1">
        <f t="shared" ref="I206:I207" si="18">G206/109*9</f>
        <v>0.98174311926605506</v>
      </c>
      <c r="J206" t="s">
        <v>14</v>
      </c>
      <c r="K206" t="s">
        <v>289</v>
      </c>
    </row>
    <row r="207" spans="1:11" x14ac:dyDescent="0.3">
      <c r="A207">
        <v>20260122</v>
      </c>
      <c r="B207" t="s">
        <v>22</v>
      </c>
      <c r="C207" t="s">
        <v>11</v>
      </c>
      <c r="E207" t="s">
        <v>12</v>
      </c>
      <c r="F207" t="s">
        <v>13</v>
      </c>
      <c r="G207">
        <v>1.5</v>
      </c>
      <c r="I207" s="1">
        <f t="shared" si="18"/>
        <v>0.12385321100917432</v>
      </c>
      <c r="J207" t="s">
        <v>14</v>
      </c>
      <c r="K207" t="s">
        <v>290</v>
      </c>
    </row>
    <row r="208" spans="1:11" x14ac:dyDescent="0.3">
      <c r="A208">
        <v>20260122</v>
      </c>
      <c r="B208" t="s">
        <v>16</v>
      </c>
      <c r="C208" t="s">
        <v>11</v>
      </c>
      <c r="D208" t="s">
        <v>17</v>
      </c>
      <c r="E208" t="s">
        <v>18</v>
      </c>
      <c r="F208" t="s">
        <v>19</v>
      </c>
      <c r="G208">
        <v>591.04999999999995</v>
      </c>
      <c r="J208" t="s">
        <v>20</v>
      </c>
      <c r="K208" t="s">
        <v>291</v>
      </c>
    </row>
    <row r="209" spans="1:11" x14ac:dyDescent="0.3">
      <c r="A209">
        <v>20260122</v>
      </c>
      <c r="B209" t="s">
        <v>292</v>
      </c>
      <c r="C209" t="s">
        <v>11</v>
      </c>
      <c r="D209" t="s">
        <v>293</v>
      </c>
      <c r="E209" t="s">
        <v>58</v>
      </c>
      <c r="F209" t="s">
        <v>19</v>
      </c>
      <c r="G209">
        <v>268.14</v>
      </c>
      <c r="J209" t="s">
        <v>59</v>
      </c>
      <c r="K209" t="s">
        <v>294</v>
      </c>
    </row>
    <row r="210" spans="1:11" x14ac:dyDescent="0.3">
      <c r="A210">
        <v>20260121</v>
      </c>
      <c r="B210" t="s">
        <v>16</v>
      </c>
      <c r="C210" t="s">
        <v>11</v>
      </c>
      <c r="D210" t="s">
        <v>17</v>
      </c>
      <c r="E210" t="s">
        <v>18</v>
      </c>
      <c r="F210" t="s">
        <v>19</v>
      </c>
      <c r="G210">
        <v>482.29</v>
      </c>
      <c r="J210" t="s">
        <v>20</v>
      </c>
      <c r="K210" t="s">
        <v>295</v>
      </c>
    </row>
    <row r="211" spans="1:11" x14ac:dyDescent="0.3">
      <c r="A211">
        <v>20260121</v>
      </c>
      <c r="B211" t="s">
        <v>200</v>
      </c>
      <c r="C211" t="s">
        <v>11</v>
      </c>
      <c r="E211" t="s">
        <v>12</v>
      </c>
      <c r="F211" t="s">
        <v>13</v>
      </c>
      <c r="G211">
        <v>10.39</v>
      </c>
      <c r="I211" s="1">
        <f>G211/109*9</f>
        <v>0.85788990825688072</v>
      </c>
      <c r="J211" t="s">
        <v>14</v>
      </c>
      <c r="K211" t="s">
        <v>296</v>
      </c>
    </row>
    <row r="212" spans="1:11" x14ac:dyDescent="0.3">
      <c r="A212">
        <v>20260120</v>
      </c>
      <c r="B212" t="s">
        <v>16</v>
      </c>
      <c r="C212" t="s">
        <v>11</v>
      </c>
      <c r="D212" t="s">
        <v>17</v>
      </c>
      <c r="E212" t="s">
        <v>18</v>
      </c>
      <c r="F212" t="s">
        <v>19</v>
      </c>
      <c r="G212">
        <v>421.93</v>
      </c>
      <c r="J212" t="s">
        <v>20</v>
      </c>
      <c r="K212" t="s">
        <v>297</v>
      </c>
    </row>
    <row r="213" spans="1:11" x14ac:dyDescent="0.3">
      <c r="A213">
        <v>20260120</v>
      </c>
      <c r="B213" t="s">
        <v>298</v>
      </c>
      <c r="C213" t="s">
        <v>11</v>
      </c>
      <c r="E213" t="s">
        <v>299</v>
      </c>
      <c r="F213" t="s">
        <v>19</v>
      </c>
      <c r="G213">
        <v>3355</v>
      </c>
      <c r="J213" t="s">
        <v>300</v>
      </c>
      <c r="K213" t="s">
        <v>301</v>
      </c>
    </row>
    <row r="214" spans="1:11" x14ac:dyDescent="0.3">
      <c r="A214">
        <v>20260119</v>
      </c>
      <c r="B214" t="s">
        <v>16</v>
      </c>
      <c r="C214" t="s">
        <v>11</v>
      </c>
      <c r="D214" t="s">
        <v>17</v>
      </c>
      <c r="E214" t="s">
        <v>18</v>
      </c>
      <c r="F214" t="s">
        <v>19</v>
      </c>
      <c r="G214">
        <v>2201.85</v>
      </c>
      <c r="J214" t="s">
        <v>20</v>
      </c>
      <c r="K214" t="s">
        <v>302</v>
      </c>
    </row>
    <row r="215" spans="1:11" x14ac:dyDescent="0.3">
      <c r="A215">
        <v>20260119</v>
      </c>
      <c r="B215" t="s">
        <v>22</v>
      </c>
      <c r="C215" t="s">
        <v>11</v>
      </c>
      <c r="E215" t="s">
        <v>12</v>
      </c>
      <c r="F215" t="s">
        <v>13</v>
      </c>
      <c r="G215">
        <v>1.99</v>
      </c>
      <c r="I215" s="1">
        <f t="shared" ref="I215:I216" si="19">G215/109*9</f>
        <v>0.16431192660550459</v>
      </c>
      <c r="J215" t="s">
        <v>14</v>
      </c>
      <c r="K215" t="s">
        <v>303</v>
      </c>
    </row>
    <row r="216" spans="1:11" x14ac:dyDescent="0.3">
      <c r="A216">
        <v>20260118</v>
      </c>
      <c r="B216" t="s">
        <v>200</v>
      </c>
      <c r="C216" t="s">
        <v>11</v>
      </c>
      <c r="E216" t="s">
        <v>12</v>
      </c>
      <c r="F216" t="s">
        <v>13</v>
      </c>
      <c r="G216">
        <v>1.95</v>
      </c>
      <c r="I216" s="1">
        <f t="shared" si="19"/>
        <v>0.16100917431192663</v>
      </c>
      <c r="J216" t="s">
        <v>14</v>
      </c>
      <c r="K216" t="s">
        <v>304</v>
      </c>
    </row>
    <row r="217" spans="1:11" x14ac:dyDescent="0.3">
      <c r="A217">
        <v>20260118</v>
      </c>
      <c r="B217" t="s">
        <v>230</v>
      </c>
      <c r="C217" t="s">
        <v>11</v>
      </c>
      <c r="D217" t="s">
        <v>231</v>
      </c>
      <c r="E217" t="s">
        <v>58</v>
      </c>
      <c r="F217" t="s">
        <v>13</v>
      </c>
      <c r="G217">
        <v>41.85</v>
      </c>
      <c r="H217" s="1">
        <f>G217/121*21</f>
        <v>7.2632231404958674</v>
      </c>
      <c r="J217" t="s">
        <v>59</v>
      </c>
      <c r="K217" t="s">
        <v>305</v>
      </c>
    </row>
    <row r="218" spans="1:11" x14ac:dyDescent="0.3">
      <c r="A218">
        <v>20260118</v>
      </c>
      <c r="B218" t="s">
        <v>22</v>
      </c>
      <c r="C218" t="s">
        <v>11</v>
      </c>
      <c r="E218" t="s">
        <v>12</v>
      </c>
      <c r="F218" t="s">
        <v>13</v>
      </c>
      <c r="G218">
        <v>13.34</v>
      </c>
      <c r="I218" s="1">
        <f>G218/109*9</f>
        <v>1.1014678899082568</v>
      </c>
      <c r="J218" t="s">
        <v>14</v>
      </c>
      <c r="K218" t="s">
        <v>306</v>
      </c>
    </row>
    <row r="219" spans="1:11" x14ac:dyDescent="0.3">
      <c r="A219">
        <v>20260118</v>
      </c>
      <c r="B219" t="s">
        <v>10</v>
      </c>
      <c r="C219" t="s">
        <v>11</v>
      </c>
      <c r="E219" t="s">
        <v>12</v>
      </c>
      <c r="F219" t="s">
        <v>13</v>
      </c>
      <c r="G219">
        <v>334.44</v>
      </c>
      <c r="H219">
        <v>2.82</v>
      </c>
      <c r="I219">
        <v>26.27</v>
      </c>
      <c r="J219" t="s">
        <v>14</v>
      </c>
      <c r="K219" t="s">
        <v>307</v>
      </c>
    </row>
    <row r="220" spans="1:11" x14ac:dyDescent="0.3">
      <c r="A220">
        <v>20260117</v>
      </c>
      <c r="B220" t="s">
        <v>22</v>
      </c>
      <c r="C220" t="s">
        <v>11</v>
      </c>
      <c r="E220" t="s">
        <v>12</v>
      </c>
      <c r="F220" t="s">
        <v>13</v>
      </c>
      <c r="G220">
        <v>17.149999999999999</v>
      </c>
      <c r="I220" s="1">
        <f>G220/109*9</f>
        <v>1.4160550458715595</v>
      </c>
      <c r="J220" t="s">
        <v>14</v>
      </c>
      <c r="K220" t="s">
        <v>308</v>
      </c>
    </row>
    <row r="221" spans="1:11" x14ac:dyDescent="0.3">
      <c r="A221">
        <v>20260116</v>
      </c>
      <c r="B221" t="s">
        <v>16</v>
      </c>
      <c r="C221" t="s">
        <v>11</v>
      </c>
      <c r="D221" t="s">
        <v>17</v>
      </c>
      <c r="E221" t="s">
        <v>18</v>
      </c>
      <c r="F221" t="s">
        <v>19</v>
      </c>
      <c r="G221">
        <v>549.5</v>
      </c>
      <c r="J221" t="s">
        <v>20</v>
      </c>
      <c r="K221" t="s">
        <v>309</v>
      </c>
    </row>
    <row r="222" spans="1:11" x14ac:dyDescent="0.3">
      <c r="A222">
        <v>20260116</v>
      </c>
      <c r="B222" s="2" t="s">
        <v>310</v>
      </c>
      <c r="C222" t="s">
        <v>11</v>
      </c>
      <c r="D222" t="s">
        <v>311</v>
      </c>
      <c r="E222" t="s">
        <v>312</v>
      </c>
      <c r="F222" t="s">
        <v>13</v>
      </c>
      <c r="G222">
        <v>1452</v>
      </c>
      <c r="H222" s="1">
        <f t="shared" ref="H222:H224" si="20">G222/121*21</f>
        <v>252</v>
      </c>
      <c r="J222" t="s">
        <v>313</v>
      </c>
      <c r="K222" t="s">
        <v>314</v>
      </c>
    </row>
    <row r="223" spans="1:11" x14ac:dyDescent="0.3">
      <c r="A223">
        <v>20260116</v>
      </c>
      <c r="B223" t="s">
        <v>24</v>
      </c>
      <c r="C223" t="s">
        <v>11</v>
      </c>
      <c r="E223" t="s">
        <v>12</v>
      </c>
      <c r="F223" t="s">
        <v>13</v>
      </c>
      <c r="G223">
        <v>16.03</v>
      </c>
      <c r="H223" s="1">
        <f t="shared" si="20"/>
        <v>2.7820661157024795</v>
      </c>
      <c r="J223" t="s">
        <v>14</v>
      </c>
      <c r="K223" t="s">
        <v>315</v>
      </c>
    </row>
    <row r="224" spans="1:11" x14ac:dyDescent="0.3">
      <c r="A224">
        <v>20260116</v>
      </c>
      <c r="B224" t="s">
        <v>70</v>
      </c>
      <c r="C224" t="s">
        <v>11</v>
      </c>
      <c r="D224" t="s">
        <v>71</v>
      </c>
      <c r="E224" t="s">
        <v>28</v>
      </c>
      <c r="F224" t="s">
        <v>13</v>
      </c>
      <c r="G224">
        <v>45.98</v>
      </c>
      <c r="H224" s="1">
        <f t="shared" si="20"/>
        <v>7.9799999999999986</v>
      </c>
      <c r="J224" t="s">
        <v>29</v>
      </c>
      <c r="K224" t="s">
        <v>316</v>
      </c>
    </row>
    <row r="225" spans="1:11" x14ac:dyDescent="0.3">
      <c r="A225">
        <v>20260115</v>
      </c>
      <c r="B225" t="s">
        <v>16</v>
      </c>
      <c r="C225" t="s">
        <v>11</v>
      </c>
      <c r="D225" t="s">
        <v>17</v>
      </c>
      <c r="E225" t="s">
        <v>18</v>
      </c>
      <c r="F225" t="s">
        <v>19</v>
      </c>
      <c r="G225">
        <v>542.70000000000005</v>
      </c>
      <c r="J225" t="s">
        <v>20</v>
      </c>
      <c r="K225" t="s">
        <v>317</v>
      </c>
    </row>
    <row r="226" spans="1:11" x14ac:dyDescent="0.3">
      <c r="A226">
        <v>20260115</v>
      </c>
      <c r="B226" t="s">
        <v>10</v>
      </c>
      <c r="C226" t="s">
        <v>11</v>
      </c>
      <c r="E226" t="s">
        <v>12</v>
      </c>
      <c r="F226" t="s">
        <v>13</v>
      </c>
      <c r="G226">
        <v>407.33</v>
      </c>
      <c r="H226">
        <v>5.93</v>
      </c>
      <c r="I226">
        <v>30.81</v>
      </c>
      <c r="J226" t="s">
        <v>14</v>
      </c>
      <c r="K226" t="s">
        <v>318</v>
      </c>
    </row>
    <row r="227" spans="1:11" x14ac:dyDescent="0.3">
      <c r="A227">
        <v>20260115</v>
      </c>
      <c r="B227" t="s">
        <v>22</v>
      </c>
      <c r="C227" t="s">
        <v>11</v>
      </c>
      <c r="E227" t="s">
        <v>12</v>
      </c>
      <c r="F227" t="s">
        <v>19</v>
      </c>
      <c r="G227">
        <v>2.78</v>
      </c>
      <c r="J227" t="s">
        <v>14</v>
      </c>
      <c r="K227" t="s">
        <v>319</v>
      </c>
    </row>
    <row r="228" spans="1:11" x14ac:dyDescent="0.3">
      <c r="A228">
        <v>20260115</v>
      </c>
      <c r="B228" t="s">
        <v>22</v>
      </c>
      <c r="C228" t="s">
        <v>11</v>
      </c>
      <c r="E228" t="s">
        <v>12</v>
      </c>
      <c r="F228" t="s">
        <v>13</v>
      </c>
      <c r="G228">
        <v>1.5</v>
      </c>
      <c r="I228" s="1">
        <f t="shared" ref="I228:I230" si="21">G228/109*9</f>
        <v>0.12385321100917432</v>
      </c>
      <c r="J228" t="s">
        <v>14</v>
      </c>
      <c r="K228" t="s">
        <v>320</v>
      </c>
    </row>
    <row r="229" spans="1:11" x14ac:dyDescent="0.3">
      <c r="A229">
        <v>20260115</v>
      </c>
      <c r="B229" t="s">
        <v>22</v>
      </c>
      <c r="C229" t="s">
        <v>11</v>
      </c>
      <c r="E229" t="s">
        <v>12</v>
      </c>
      <c r="F229" t="s">
        <v>13</v>
      </c>
      <c r="G229">
        <v>2.78</v>
      </c>
      <c r="I229" s="1">
        <f t="shared" si="21"/>
        <v>0.22954128440366969</v>
      </c>
      <c r="J229" t="s">
        <v>14</v>
      </c>
      <c r="K229" t="s">
        <v>321</v>
      </c>
    </row>
    <row r="230" spans="1:11" x14ac:dyDescent="0.3">
      <c r="A230">
        <v>20260115</v>
      </c>
      <c r="B230" t="s">
        <v>22</v>
      </c>
      <c r="C230" t="s">
        <v>11</v>
      </c>
      <c r="E230" t="s">
        <v>12</v>
      </c>
      <c r="F230" t="s">
        <v>13</v>
      </c>
      <c r="G230">
        <v>12.28</v>
      </c>
      <c r="I230" s="1">
        <f t="shared" si="21"/>
        <v>1.0139449541284402</v>
      </c>
      <c r="J230" t="s">
        <v>14</v>
      </c>
      <c r="K230" t="s">
        <v>322</v>
      </c>
    </row>
    <row r="231" spans="1:11" x14ac:dyDescent="0.3">
      <c r="A231">
        <v>20260114</v>
      </c>
      <c r="B231" t="s">
        <v>246</v>
      </c>
      <c r="C231" t="s">
        <v>11</v>
      </c>
      <c r="D231" t="s">
        <v>247</v>
      </c>
      <c r="E231" t="s">
        <v>58</v>
      </c>
      <c r="F231" t="s">
        <v>13</v>
      </c>
      <c r="G231">
        <v>2034.79</v>
      </c>
      <c r="I231">
        <v>152.54</v>
      </c>
      <c r="J231" t="s">
        <v>59</v>
      </c>
      <c r="K231" t="s">
        <v>323</v>
      </c>
    </row>
    <row r="232" spans="1:11" x14ac:dyDescent="0.3">
      <c r="A232">
        <v>20260114</v>
      </c>
      <c r="B232" t="s">
        <v>16</v>
      </c>
      <c r="C232" t="s">
        <v>11</v>
      </c>
      <c r="D232" t="s">
        <v>17</v>
      </c>
      <c r="E232" t="s">
        <v>18</v>
      </c>
      <c r="F232" t="s">
        <v>19</v>
      </c>
      <c r="G232">
        <v>220.89</v>
      </c>
      <c r="J232" t="s">
        <v>20</v>
      </c>
      <c r="K232" t="s">
        <v>324</v>
      </c>
    </row>
    <row r="233" spans="1:11" x14ac:dyDescent="0.3">
      <c r="A233">
        <v>20260114</v>
      </c>
      <c r="B233" t="s">
        <v>22</v>
      </c>
      <c r="C233" t="s">
        <v>11</v>
      </c>
      <c r="E233" t="s">
        <v>12</v>
      </c>
      <c r="F233" t="s">
        <v>13</v>
      </c>
      <c r="G233">
        <v>1.99</v>
      </c>
      <c r="I233" s="1">
        <f>G233/109*9</f>
        <v>0.16431192660550459</v>
      </c>
      <c r="J233" t="s">
        <v>14</v>
      </c>
      <c r="K233" t="s">
        <v>325</v>
      </c>
    </row>
    <row r="234" spans="1:11" x14ac:dyDescent="0.3">
      <c r="A234">
        <v>20260114</v>
      </c>
      <c r="B234" t="s">
        <v>108</v>
      </c>
      <c r="C234" t="s">
        <v>11</v>
      </c>
      <c r="D234" t="s">
        <v>109</v>
      </c>
      <c r="E234" t="s">
        <v>18</v>
      </c>
      <c r="F234" t="s">
        <v>19</v>
      </c>
      <c r="G234">
        <v>2978.31</v>
      </c>
      <c r="J234" t="s">
        <v>20</v>
      </c>
      <c r="K234" t="s">
        <v>326</v>
      </c>
    </row>
    <row r="235" spans="1:11" x14ac:dyDescent="0.3">
      <c r="A235">
        <v>20260113</v>
      </c>
      <c r="B235" t="s">
        <v>327</v>
      </c>
      <c r="C235" t="s">
        <v>11</v>
      </c>
      <c r="D235" t="s">
        <v>328</v>
      </c>
      <c r="E235" t="s">
        <v>18</v>
      </c>
      <c r="F235" t="s">
        <v>19</v>
      </c>
      <c r="G235">
        <v>4511.55</v>
      </c>
      <c r="J235" t="s">
        <v>20</v>
      </c>
      <c r="K235" t="s">
        <v>329</v>
      </c>
    </row>
    <row r="236" spans="1:11" x14ac:dyDescent="0.3">
      <c r="A236">
        <v>20260113</v>
      </c>
      <c r="B236" t="s">
        <v>22</v>
      </c>
      <c r="C236" t="s">
        <v>11</v>
      </c>
      <c r="E236" t="s">
        <v>12</v>
      </c>
      <c r="F236" t="s">
        <v>13</v>
      </c>
      <c r="G236">
        <v>4.49</v>
      </c>
      <c r="I236" s="1">
        <f>G236/109*9</f>
        <v>0.37073394495412848</v>
      </c>
      <c r="J236" t="s">
        <v>14</v>
      </c>
      <c r="K236" t="s">
        <v>330</v>
      </c>
    </row>
    <row r="237" spans="1:11" x14ac:dyDescent="0.3">
      <c r="A237">
        <v>20260112</v>
      </c>
      <c r="B237" t="s">
        <v>10</v>
      </c>
      <c r="C237" t="s">
        <v>11</v>
      </c>
      <c r="E237" t="s">
        <v>12</v>
      </c>
      <c r="F237" t="s">
        <v>13</v>
      </c>
      <c r="G237">
        <v>167.94</v>
      </c>
      <c r="J237" t="s">
        <v>14</v>
      </c>
      <c r="K237" t="s">
        <v>331</v>
      </c>
    </row>
    <row r="238" spans="1:11" x14ac:dyDescent="0.3">
      <c r="A238">
        <v>20260112</v>
      </c>
      <c r="B238" t="s">
        <v>190</v>
      </c>
      <c r="C238" t="s">
        <v>11</v>
      </c>
      <c r="E238" t="s">
        <v>12</v>
      </c>
      <c r="F238" t="s">
        <v>13</v>
      </c>
      <c r="G238">
        <v>24</v>
      </c>
      <c r="H238" s="1">
        <f>G238/121*21</f>
        <v>4.1652892561983474</v>
      </c>
      <c r="J238" t="s">
        <v>14</v>
      </c>
      <c r="K238" t="s">
        <v>332</v>
      </c>
    </row>
    <row r="239" spans="1:11" x14ac:dyDescent="0.3">
      <c r="A239">
        <v>20260111</v>
      </c>
      <c r="B239" t="s">
        <v>22</v>
      </c>
      <c r="C239" t="s">
        <v>11</v>
      </c>
      <c r="E239" t="s">
        <v>12</v>
      </c>
      <c r="F239" t="s">
        <v>13</v>
      </c>
      <c r="G239">
        <v>9.9</v>
      </c>
      <c r="I239" s="1">
        <f>G239/109*9</f>
        <v>0.81743119266055053</v>
      </c>
      <c r="J239" t="s">
        <v>14</v>
      </c>
      <c r="K239" t="s">
        <v>333</v>
      </c>
    </row>
    <row r="240" spans="1:11" x14ac:dyDescent="0.3">
      <c r="A240">
        <v>20260110</v>
      </c>
      <c r="B240" t="s">
        <v>10</v>
      </c>
      <c r="C240" t="s">
        <v>11</v>
      </c>
      <c r="E240" t="s">
        <v>12</v>
      </c>
      <c r="F240" t="s">
        <v>13</v>
      </c>
      <c r="G240">
        <v>289.18</v>
      </c>
      <c r="J240" t="s">
        <v>14</v>
      </c>
      <c r="K240" t="s">
        <v>334</v>
      </c>
    </row>
    <row r="241" spans="1:11" x14ac:dyDescent="0.3">
      <c r="A241">
        <v>20260109</v>
      </c>
      <c r="B241" t="s">
        <v>22</v>
      </c>
      <c r="C241" t="s">
        <v>11</v>
      </c>
      <c r="E241" t="s">
        <v>12</v>
      </c>
      <c r="F241" t="s">
        <v>13</v>
      </c>
      <c r="G241">
        <v>9.9</v>
      </c>
      <c r="I241" s="1">
        <f>G241/109*9</f>
        <v>0.81743119266055053</v>
      </c>
      <c r="J241" t="s">
        <v>14</v>
      </c>
      <c r="K241" t="s">
        <v>335</v>
      </c>
    </row>
    <row r="242" spans="1:11" x14ac:dyDescent="0.3">
      <c r="A242">
        <v>20260108</v>
      </c>
      <c r="B242" t="s">
        <v>10</v>
      </c>
      <c r="C242" t="s">
        <v>11</v>
      </c>
      <c r="E242" t="s">
        <v>12</v>
      </c>
      <c r="F242" t="s">
        <v>13</v>
      </c>
      <c r="G242">
        <v>284.76</v>
      </c>
      <c r="J242" t="s">
        <v>14</v>
      </c>
      <c r="K242" t="s">
        <v>336</v>
      </c>
    </row>
    <row r="243" spans="1:11" x14ac:dyDescent="0.3">
      <c r="A243">
        <v>20260108</v>
      </c>
      <c r="B243" t="s">
        <v>22</v>
      </c>
      <c r="C243" t="s">
        <v>11</v>
      </c>
      <c r="E243" t="s">
        <v>12</v>
      </c>
      <c r="F243" t="s">
        <v>13</v>
      </c>
      <c r="G243">
        <v>3.28</v>
      </c>
      <c r="I243" s="1">
        <f t="shared" ref="I243:I246" si="22">G243/109*9</f>
        <v>0.27082568807339447</v>
      </c>
      <c r="J243" t="s">
        <v>14</v>
      </c>
      <c r="K243" t="s">
        <v>337</v>
      </c>
    </row>
    <row r="244" spans="1:11" x14ac:dyDescent="0.3">
      <c r="A244">
        <v>20260106</v>
      </c>
      <c r="B244" t="s">
        <v>22</v>
      </c>
      <c r="C244" t="s">
        <v>11</v>
      </c>
      <c r="E244" t="s">
        <v>12</v>
      </c>
      <c r="F244" t="s">
        <v>13</v>
      </c>
      <c r="G244">
        <v>14.27</v>
      </c>
      <c r="I244" s="1">
        <f t="shared" si="22"/>
        <v>1.1782568807339451</v>
      </c>
      <c r="J244" t="s">
        <v>14</v>
      </c>
      <c r="K244" t="s">
        <v>338</v>
      </c>
    </row>
    <row r="245" spans="1:11" x14ac:dyDescent="0.3">
      <c r="A245">
        <v>20260106</v>
      </c>
      <c r="B245" t="s">
        <v>22</v>
      </c>
      <c r="C245" t="s">
        <v>11</v>
      </c>
      <c r="E245" t="s">
        <v>12</v>
      </c>
      <c r="F245" t="s">
        <v>13</v>
      </c>
      <c r="G245">
        <v>3.52</v>
      </c>
      <c r="I245" s="1">
        <f t="shared" si="22"/>
        <v>0.29064220183486239</v>
      </c>
      <c r="J245" t="s">
        <v>14</v>
      </c>
      <c r="K245" t="s">
        <v>339</v>
      </c>
    </row>
    <row r="246" spans="1:11" x14ac:dyDescent="0.3">
      <c r="A246">
        <v>20260106</v>
      </c>
      <c r="B246" t="s">
        <v>22</v>
      </c>
      <c r="C246" t="s">
        <v>11</v>
      </c>
      <c r="E246" t="s">
        <v>12</v>
      </c>
      <c r="F246" t="s">
        <v>13</v>
      </c>
      <c r="G246">
        <v>4.49</v>
      </c>
      <c r="I246" s="1">
        <f t="shared" si="22"/>
        <v>0.37073394495412848</v>
      </c>
      <c r="J246" t="s">
        <v>14</v>
      </c>
      <c r="K246" t="s">
        <v>340</v>
      </c>
    </row>
    <row r="247" spans="1:11" x14ac:dyDescent="0.3">
      <c r="A247">
        <v>20260105</v>
      </c>
      <c r="B247" t="s">
        <v>10</v>
      </c>
      <c r="C247" t="s">
        <v>11</v>
      </c>
      <c r="E247" t="s">
        <v>12</v>
      </c>
      <c r="F247" t="s">
        <v>13</v>
      </c>
      <c r="G247">
        <v>345.73</v>
      </c>
      <c r="J247" t="s">
        <v>14</v>
      </c>
      <c r="K247" t="s">
        <v>341</v>
      </c>
    </row>
    <row r="248" spans="1:11" x14ac:dyDescent="0.3">
      <c r="A248">
        <v>20260105</v>
      </c>
      <c r="B248" t="s">
        <v>10</v>
      </c>
      <c r="C248" t="s">
        <v>11</v>
      </c>
      <c r="E248" t="s">
        <v>12</v>
      </c>
      <c r="F248" t="s">
        <v>13</v>
      </c>
      <c r="G248">
        <v>242.45</v>
      </c>
      <c r="J248" t="s">
        <v>14</v>
      </c>
      <c r="K248" t="s">
        <v>342</v>
      </c>
    </row>
    <row r="249" spans="1:11" x14ac:dyDescent="0.3">
      <c r="A249">
        <v>20260105</v>
      </c>
      <c r="B249" t="s">
        <v>343</v>
      </c>
      <c r="C249" t="s">
        <v>11</v>
      </c>
      <c r="D249" t="s">
        <v>344</v>
      </c>
      <c r="E249" t="s">
        <v>18</v>
      </c>
      <c r="F249" t="s">
        <v>19</v>
      </c>
      <c r="G249">
        <v>1056.81</v>
      </c>
      <c r="J249" t="s">
        <v>20</v>
      </c>
      <c r="K249" t="s">
        <v>345</v>
      </c>
    </row>
    <row r="250" spans="1:11" x14ac:dyDescent="0.3">
      <c r="A250">
        <v>20260105</v>
      </c>
      <c r="B250" t="s">
        <v>22</v>
      </c>
      <c r="C250" t="s">
        <v>11</v>
      </c>
      <c r="E250" t="s">
        <v>12</v>
      </c>
      <c r="F250" t="s">
        <v>13</v>
      </c>
      <c r="G250">
        <v>1.19</v>
      </c>
      <c r="I250" s="1">
        <f t="shared" ref="I250:I251" si="23">G250/109*9</f>
        <v>9.8256880733944951E-2</v>
      </c>
      <c r="J250" t="s">
        <v>14</v>
      </c>
      <c r="K250" t="s">
        <v>346</v>
      </c>
    </row>
    <row r="251" spans="1:11" x14ac:dyDescent="0.3">
      <c r="A251">
        <v>20260105</v>
      </c>
      <c r="B251" t="s">
        <v>200</v>
      </c>
      <c r="C251" t="s">
        <v>11</v>
      </c>
      <c r="E251" t="s">
        <v>12</v>
      </c>
      <c r="F251" t="s">
        <v>13</v>
      </c>
      <c r="G251">
        <v>30</v>
      </c>
      <c r="I251" s="1">
        <f t="shared" si="23"/>
        <v>2.4770642201834865</v>
      </c>
      <c r="J251" t="s">
        <v>14</v>
      </c>
      <c r="K251" t="s">
        <v>347</v>
      </c>
    </row>
    <row r="252" spans="1:11" x14ac:dyDescent="0.3">
      <c r="A252">
        <v>20260105</v>
      </c>
      <c r="B252" t="s">
        <v>116</v>
      </c>
      <c r="C252" t="s">
        <v>11</v>
      </c>
      <c r="D252" t="s">
        <v>117</v>
      </c>
      <c r="E252" t="s">
        <v>28</v>
      </c>
      <c r="F252" t="s">
        <v>13</v>
      </c>
      <c r="G252">
        <v>21.99</v>
      </c>
      <c r="H252" s="1">
        <f>G252/121*21</f>
        <v>3.8164462809917348</v>
      </c>
      <c r="J252" t="s">
        <v>29</v>
      </c>
      <c r="K252" t="s">
        <v>348</v>
      </c>
    </row>
    <row r="253" spans="1:11" x14ac:dyDescent="0.3">
      <c r="A253">
        <v>20260104</v>
      </c>
      <c r="B253" t="s">
        <v>10</v>
      </c>
      <c r="C253" t="s">
        <v>11</v>
      </c>
      <c r="E253" t="s">
        <v>12</v>
      </c>
      <c r="F253" t="s">
        <v>13</v>
      </c>
      <c r="G253">
        <v>137.01</v>
      </c>
      <c r="J253" t="s">
        <v>14</v>
      </c>
      <c r="K253" t="s">
        <v>349</v>
      </c>
    </row>
    <row r="254" spans="1:11" x14ac:dyDescent="0.3">
      <c r="A254">
        <v>20260103</v>
      </c>
      <c r="B254" t="s">
        <v>22</v>
      </c>
      <c r="C254" t="s">
        <v>11</v>
      </c>
      <c r="E254" t="s">
        <v>12</v>
      </c>
      <c r="F254" t="s">
        <v>13</v>
      </c>
      <c r="G254">
        <v>9.9</v>
      </c>
      <c r="I254" s="1">
        <f>G254/109*9</f>
        <v>0.81743119266055053</v>
      </c>
      <c r="J254" t="s">
        <v>14</v>
      </c>
      <c r="K254" t="s">
        <v>350</v>
      </c>
    </row>
    <row r="255" spans="1:11" x14ac:dyDescent="0.3">
      <c r="A255">
        <v>20260102</v>
      </c>
      <c r="B255" t="s">
        <v>10</v>
      </c>
      <c r="C255" t="s">
        <v>11</v>
      </c>
      <c r="E255" t="s">
        <v>12</v>
      </c>
      <c r="F255" t="s">
        <v>13</v>
      </c>
      <c r="G255">
        <v>389.88</v>
      </c>
      <c r="J255" t="s">
        <v>14</v>
      </c>
      <c r="K255" t="s">
        <v>351</v>
      </c>
    </row>
    <row r="256" spans="1:11" x14ac:dyDescent="0.3">
      <c r="A256">
        <v>20260102</v>
      </c>
      <c r="B256" t="s">
        <v>343</v>
      </c>
      <c r="C256" t="s">
        <v>11</v>
      </c>
      <c r="D256" t="s">
        <v>344</v>
      </c>
      <c r="E256" t="s">
        <v>18</v>
      </c>
      <c r="F256" t="s">
        <v>19</v>
      </c>
      <c r="G256">
        <v>1924.93</v>
      </c>
      <c r="J256" t="s">
        <v>20</v>
      </c>
      <c r="K256" t="s">
        <v>352</v>
      </c>
    </row>
    <row r="257" spans="1:13" x14ac:dyDescent="0.3">
      <c r="A257">
        <v>20260101</v>
      </c>
      <c r="B257" t="s">
        <v>353</v>
      </c>
      <c r="C257" t="s">
        <v>11</v>
      </c>
      <c r="E257" t="s">
        <v>12</v>
      </c>
      <c r="F257" t="s">
        <v>13</v>
      </c>
      <c r="G257">
        <v>45.9</v>
      </c>
      <c r="I257" s="1">
        <f>G257/109*9</f>
        <v>3.7899082568807341</v>
      </c>
      <c r="J257" t="s">
        <v>14</v>
      </c>
      <c r="K257" t="s">
        <v>354</v>
      </c>
    </row>
    <row r="258" spans="1:13" x14ac:dyDescent="0.3">
      <c r="H258" s="1">
        <f>SUM(H2:H257)</f>
        <v>4296.4034710743799</v>
      </c>
      <c r="I258" s="1">
        <f>SUM(I2:I257)</f>
        <v>1208.8633027522935</v>
      </c>
      <c r="J258" s="1"/>
    </row>
    <row r="259" spans="1:13" x14ac:dyDescent="0.3">
      <c r="H259" s="1"/>
      <c r="I259" s="1"/>
    </row>
    <row r="260" spans="1:13" x14ac:dyDescent="0.3">
      <c r="B260" t="s">
        <v>362</v>
      </c>
      <c r="H260" s="1"/>
      <c r="L260" t="s">
        <v>363</v>
      </c>
      <c r="M260">
        <v>1573</v>
      </c>
    </row>
    <row r="261" spans="1:13" x14ac:dyDescent="0.3">
      <c r="B261" t="s">
        <v>364</v>
      </c>
      <c r="C261">
        <v>8872.15</v>
      </c>
      <c r="D261" t="s">
        <v>365</v>
      </c>
      <c r="L261" t="s">
        <v>366</v>
      </c>
      <c r="M261">
        <f>M260*0.15</f>
        <v>235.95</v>
      </c>
    </row>
    <row r="262" spans="1:13" x14ac:dyDescent="0.3">
      <c r="B262" t="s">
        <v>382</v>
      </c>
      <c r="C262">
        <v>63524.959999999999</v>
      </c>
      <c r="D262" t="s">
        <v>367</v>
      </c>
    </row>
    <row r="263" spans="1:13" x14ac:dyDescent="0.3">
      <c r="I263" s="1"/>
    </row>
    <row r="264" spans="1:13" x14ac:dyDescent="0.3">
      <c r="H264" s="1"/>
    </row>
    <row r="265" spans="1:13" x14ac:dyDescent="0.3">
      <c r="H265" s="1"/>
    </row>
    <row r="266" spans="1:13" x14ac:dyDescent="0.3">
      <c r="B266" t="s">
        <v>368</v>
      </c>
      <c r="C266">
        <f>C262-C264+C261-M261</f>
        <v>72161.16</v>
      </c>
      <c r="D266" t="s">
        <v>367</v>
      </c>
      <c r="I266" s="1"/>
    </row>
    <row r="267" spans="1:13" x14ac:dyDescent="0.3">
      <c r="C267" s="5"/>
    </row>
    <row r="268" spans="1:13" x14ac:dyDescent="0.3">
      <c r="B268" t="s">
        <v>369</v>
      </c>
      <c r="D268" t="s">
        <v>369</v>
      </c>
      <c r="G268" t="s">
        <v>370</v>
      </c>
      <c r="H268" s="6">
        <f>C269+C270+H259+I259</f>
        <v>5505.2667738266737</v>
      </c>
      <c r="I268" s="1"/>
    </row>
    <row r="269" spans="1:13" x14ac:dyDescent="0.3">
      <c r="B269" s="3">
        <v>0.21</v>
      </c>
      <c r="C269" s="7">
        <f>H258</f>
        <v>4296.4034710743799</v>
      </c>
      <c r="D269" s="8">
        <f>C269/21*121</f>
        <v>24755.467619047617</v>
      </c>
      <c r="G269" t="s">
        <v>371</v>
      </c>
      <c r="H269" s="9">
        <f>C266/109*9</f>
        <v>5958.2609174311929</v>
      </c>
      <c r="I269" s="1"/>
    </row>
    <row r="270" spans="1:13" x14ac:dyDescent="0.3">
      <c r="B270" s="3">
        <v>0.09</v>
      </c>
      <c r="C270" s="7">
        <f>I258</f>
        <v>1208.8633027522935</v>
      </c>
      <c r="D270" s="7">
        <f>C270/9*109</f>
        <v>14640.677777777779</v>
      </c>
      <c r="G270" t="s">
        <v>372</v>
      </c>
      <c r="H270" s="1">
        <f>H268-H269</f>
        <v>-452.99414360451919</v>
      </c>
      <c r="I270" s="1"/>
    </row>
    <row r="271" spans="1:13" x14ac:dyDescent="0.3">
      <c r="A271" t="s">
        <v>383</v>
      </c>
      <c r="B271" s="3">
        <v>0.21</v>
      </c>
      <c r="C271" s="7">
        <f>Contant!D6</f>
        <v>65.61</v>
      </c>
      <c r="D271" s="7">
        <f>C271/21*121</f>
        <v>378.0385714285714</v>
      </c>
      <c r="H271" s="1"/>
      <c r="I271" s="1"/>
    </row>
    <row r="272" spans="1:13" x14ac:dyDescent="0.3">
      <c r="B272" s="3">
        <v>0.09</v>
      </c>
      <c r="C272" s="7">
        <f>Contant!E6</f>
        <v>128.68</v>
      </c>
      <c r="D272" s="7">
        <f>C272/9*109</f>
        <v>1558.4577777777779</v>
      </c>
      <c r="H272" s="1"/>
      <c r="I272" s="1"/>
    </row>
    <row r="273" spans="2:10" x14ac:dyDescent="0.3">
      <c r="B273" s="3"/>
      <c r="C273" s="7"/>
      <c r="D273" s="8"/>
      <c r="H273" s="1"/>
      <c r="I273" s="1"/>
    </row>
    <row r="274" spans="2:10" x14ac:dyDescent="0.3">
      <c r="B274" t="s">
        <v>373</v>
      </c>
      <c r="C274">
        <f>SUM(C269:C272)</f>
        <v>5699.5567738266736</v>
      </c>
      <c r="D274">
        <f>SUM(D269:D272)</f>
        <v>41332.641746031746</v>
      </c>
      <c r="I274" s="1"/>
    </row>
    <row r="275" spans="2:10" x14ac:dyDescent="0.3">
      <c r="I275" s="1"/>
    </row>
    <row r="276" spans="2:10" x14ac:dyDescent="0.3">
      <c r="I276" s="1"/>
    </row>
    <row r="277" spans="2:10" x14ac:dyDescent="0.3">
      <c r="B277" t="s">
        <v>374</v>
      </c>
      <c r="C277" s="8">
        <v>13924.44</v>
      </c>
      <c r="H277" s="1"/>
    </row>
    <row r="278" spans="2:10" x14ac:dyDescent="0.3">
      <c r="B278" t="s">
        <v>375</v>
      </c>
      <c r="C278" s="8">
        <v>2460.1</v>
      </c>
      <c r="I278" s="1"/>
    </row>
    <row r="279" spans="2:10" x14ac:dyDescent="0.3">
      <c r="B279" t="s">
        <v>376</v>
      </c>
      <c r="C279" s="8">
        <v>3436</v>
      </c>
      <c r="H279" t="s">
        <v>377</v>
      </c>
      <c r="I279" s="1">
        <f>C266/1.09</f>
        <v>66202.899082568809</v>
      </c>
      <c r="J279" s="1">
        <f>I279-C266</f>
        <v>-5958.2609174311947</v>
      </c>
    </row>
    <row r="280" spans="2:10" x14ac:dyDescent="0.3">
      <c r="B280" t="s">
        <v>378</v>
      </c>
      <c r="C280" s="8">
        <v>97.59</v>
      </c>
      <c r="H280" t="s">
        <v>379</v>
      </c>
      <c r="I280" s="1">
        <f>D269/1.21+D270/1.09+C277+C278+C279+C280</f>
        <v>53809.008622998721</v>
      </c>
    </row>
    <row r="281" spans="2:10" x14ac:dyDescent="0.3">
      <c r="B281" s="10" t="s">
        <v>380</v>
      </c>
      <c r="C281" s="11">
        <f>H269-H268</f>
        <v>452.99414360451919</v>
      </c>
      <c r="H281" t="s">
        <v>381</v>
      </c>
      <c r="I281" s="1">
        <f>I279-I280</f>
        <v>12393.890459570088</v>
      </c>
    </row>
  </sheetData>
  <autoFilter ref="A1:L258" xr:uid="{F197AC79-68D3-4A95-BB32-95DA9AF6385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94E5-6A92-4D5C-AB72-85E6A3DD9F7B}">
  <dimension ref="A1:E6"/>
  <sheetViews>
    <sheetView workbookViewId="0">
      <selection activeCell="C6" sqref="C6:E6"/>
    </sheetView>
  </sheetViews>
  <sheetFormatPr defaultRowHeight="14.4" x14ac:dyDescent="0.3"/>
  <cols>
    <col min="1" max="1" width="9.33203125" bestFit="1" customWidth="1"/>
  </cols>
  <sheetData>
    <row r="1" spans="1:5" x14ac:dyDescent="0.3">
      <c r="A1" t="s">
        <v>357</v>
      </c>
      <c r="B1" t="s">
        <v>358</v>
      </c>
      <c r="C1" t="s">
        <v>359</v>
      </c>
      <c r="D1" s="3" t="s">
        <v>355</v>
      </c>
      <c r="E1" s="3" t="s">
        <v>356</v>
      </c>
    </row>
    <row r="2" spans="1:5" x14ac:dyDescent="0.3">
      <c r="A2" s="4">
        <v>46081</v>
      </c>
      <c r="B2" t="s">
        <v>360</v>
      </c>
      <c r="C2">
        <v>408.42</v>
      </c>
      <c r="E2">
        <v>32.53</v>
      </c>
    </row>
    <row r="3" spans="1:5" x14ac:dyDescent="0.3">
      <c r="A3" s="4">
        <v>46084</v>
      </c>
      <c r="B3" t="s">
        <v>360</v>
      </c>
      <c r="C3">
        <v>517.5</v>
      </c>
      <c r="D3">
        <v>17.760000000000002</v>
      </c>
      <c r="E3">
        <v>34.28</v>
      </c>
    </row>
    <row r="4" spans="1:5" x14ac:dyDescent="0.3">
      <c r="A4" s="4">
        <v>46268</v>
      </c>
      <c r="B4" t="s">
        <v>360</v>
      </c>
      <c r="C4">
        <v>412.61</v>
      </c>
      <c r="D4">
        <v>40.57</v>
      </c>
      <c r="E4">
        <v>14.77</v>
      </c>
    </row>
    <row r="5" spans="1:5" x14ac:dyDescent="0.3">
      <c r="A5" s="4">
        <v>46098</v>
      </c>
      <c r="B5" t="s">
        <v>360</v>
      </c>
      <c r="C5">
        <v>612.35</v>
      </c>
      <c r="D5">
        <v>7.28</v>
      </c>
      <c r="E5">
        <v>47.1</v>
      </c>
    </row>
    <row r="6" spans="1:5" x14ac:dyDescent="0.3">
      <c r="C6">
        <f>SUM(C2:C5)</f>
        <v>1950.88</v>
      </c>
      <c r="D6">
        <f t="shared" ref="D6:E6" si="0">SUM(D2:D5)</f>
        <v>65.61</v>
      </c>
      <c r="E6">
        <f t="shared" si="0"/>
        <v>128.68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NL45INGB0107197596_01-01-2026_3</vt:lpstr>
      <vt:lpstr>Contant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Matthieu Petit</cp:lastModifiedBy>
  <dcterms:created xsi:type="dcterms:W3CDTF">2026-04-08T09:41:27Z</dcterms:created>
  <dcterms:modified xsi:type="dcterms:W3CDTF">2026-04-15T09:04:09Z</dcterms:modified>
</cp:coreProperties>
</file>