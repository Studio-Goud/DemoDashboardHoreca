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a87a19497cfc40/Brunch ^0 Brew/Belastingen/2026 - Q1/"/>
    </mc:Choice>
  </mc:AlternateContent>
  <xr:revisionPtr revIDLastSave="171" documentId="8_{E21DC15F-EE51-4C90-86FA-C76326EB2917}" xr6:coauthVersionLast="47" xr6:coauthVersionMax="47" xr10:uidLastSave="{125848B5-DD94-4D6E-A053-70B89F2AB396}"/>
  <bookViews>
    <workbookView xWindow="-108" yWindow="-108" windowWidth="23256" windowHeight="13896" xr2:uid="{B0E58219-1E8C-4C7E-8F87-A14B7D7A0692}"/>
  </bookViews>
  <sheets>
    <sheet name="NL65INGB0100914934_01-01-2026_3" sheetId="1" r:id="rId1"/>
    <sheet name="Contant" sheetId="2" r:id="rId2"/>
  </sheets>
  <definedNames>
    <definedName name="_xlnm._FilterDatabase" localSheetId="0" hidden="1">'NL65INGB0100914934_01-01-2026_3'!$A$1:$L$266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80" i="1" l="1"/>
  <c r="H256" i="1"/>
  <c r="H203" i="1"/>
  <c r="H165" i="1"/>
  <c r="H112" i="1"/>
  <c r="H64" i="1"/>
  <c r="H21" i="1"/>
  <c r="D5" i="2"/>
  <c r="E5" i="2"/>
  <c r="D281" i="1" s="1"/>
  <c r="C5" i="2"/>
  <c r="E273" i="1"/>
  <c r="A275" i="1"/>
  <c r="E275" i="1" l="1"/>
  <c r="K286" i="1"/>
  <c r="E276" i="1"/>
  <c r="K271" i="1" s="1"/>
  <c r="I215" i="1" l="1"/>
  <c r="I118" i="1"/>
  <c r="H158" i="1"/>
  <c r="H254" i="1"/>
  <c r="H226" i="1"/>
  <c r="H69" i="1"/>
  <c r="H57" i="1"/>
  <c r="I265" i="1"/>
  <c r="I263" i="1"/>
  <c r="I262" i="1"/>
  <c r="I261" i="1"/>
  <c r="I257" i="1"/>
  <c r="I253" i="1"/>
  <c r="I252" i="1"/>
  <c r="I251" i="1"/>
  <c r="I250" i="1"/>
  <c r="I249" i="1"/>
  <c r="I248" i="1"/>
  <c r="I245" i="1"/>
  <c r="I244" i="1"/>
  <c r="I243" i="1"/>
  <c r="I239" i="1"/>
  <c r="I236" i="1"/>
  <c r="I235" i="1"/>
  <c r="I233" i="1"/>
  <c r="I231" i="1"/>
  <c r="I228" i="1"/>
  <c r="I225" i="1"/>
  <c r="I224" i="1"/>
  <c r="I221" i="1"/>
  <c r="I217" i="1"/>
  <c r="I214" i="1"/>
  <c r="I212" i="1"/>
  <c r="I210" i="1"/>
  <c r="I209" i="1"/>
  <c r="I208" i="1"/>
  <c r="I205" i="1"/>
  <c r="I202" i="1"/>
  <c r="I198" i="1"/>
  <c r="I196" i="1"/>
  <c r="I195" i="1"/>
  <c r="I192" i="1"/>
  <c r="I191" i="1"/>
  <c r="I188" i="1"/>
  <c r="I187" i="1"/>
  <c r="I186" i="1"/>
  <c r="I185" i="1"/>
  <c r="I169" i="1"/>
  <c r="I161" i="1"/>
  <c r="I160" i="1"/>
  <c r="I159" i="1"/>
  <c r="I157" i="1"/>
  <c r="I156" i="1"/>
  <c r="I154" i="1"/>
  <c r="I151" i="1"/>
  <c r="I148" i="1"/>
  <c r="I145" i="1"/>
  <c r="I142" i="1"/>
  <c r="I141" i="1"/>
  <c r="I139" i="1"/>
  <c r="I137" i="1"/>
  <c r="I136" i="1"/>
  <c r="I133" i="1"/>
  <c r="I132" i="1"/>
  <c r="I130" i="1"/>
  <c r="I128" i="1"/>
  <c r="I127" i="1"/>
  <c r="I125" i="1"/>
  <c r="I124" i="1"/>
  <c r="I123" i="1"/>
  <c r="I122" i="1"/>
  <c r="I121" i="1"/>
  <c r="I120" i="1"/>
  <c r="I119" i="1"/>
  <c r="I116" i="1"/>
  <c r="I110" i="1"/>
  <c r="I109" i="1"/>
  <c r="I108" i="1"/>
  <c r="I107" i="1"/>
  <c r="I105" i="1"/>
  <c r="I103" i="1"/>
  <c r="I102" i="1"/>
  <c r="I101" i="1"/>
  <c r="I100" i="1"/>
  <c r="I99" i="1"/>
  <c r="I86" i="1"/>
  <c r="I85" i="1"/>
  <c r="I84" i="1"/>
  <c r="I81" i="1"/>
  <c r="I78" i="1"/>
  <c r="I76" i="1"/>
  <c r="I75" i="1"/>
  <c r="I73" i="1"/>
  <c r="I72" i="1"/>
  <c r="I71" i="1"/>
  <c r="I68" i="1"/>
  <c r="I66" i="1"/>
  <c r="I62" i="1"/>
  <c r="I61" i="1"/>
  <c r="I58" i="1"/>
  <c r="I55" i="1"/>
  <c r="I52" i="1"/>
  <c r="I51" i="1"/>
  <c r="I49" i="1"/>
  <c r="I48" i="1"/>
  <c r="I46" i="1"/>
  <c r="I45" i="1"/>
  <c r="I42" i="1"/>
  <c r="I41" i="1"/>
  <c r="I38" i="1"/>
  <c r="I36" i="1"/>
  <c r="I34" i="1"/>
  <c r="I32" i="1"/>
  <c r="I31" i="1"/>
  <c r="I30" i="1"/>
  <c r="I27" i="1"/>
  <c r="I24" i="1"/>
  <c r="I23" i="1"/>
  <c r="I20" i="1"/>
  <c r="I16" i="1"/>
  <c r="I15" i="1"/>
  <c r="I13" i="1"/>
  <c r="I12" i="1"/>
  <c r="I11" i="1"/>
  <c r="I10" i="1"/>
  <c r="I9" i="1"/>
  <c r="I5" i="1"/>
  <c r="I4" i="1"/>
  <c r="H230" i="1"/>
  <c r="H189" i="1"/>
  <c r="H59" i="1"/>
  <c r="H2" i="1"/>
  <c r="H238" i="1"/>
  <c r="H237" i="1"/>
  <c r="H229" i="1"/>
  <c r="H227" i="1"/>
  <c r="H222" i="1"/>
  <c r="H206" i="1"/>
  <c r="H200" i="1"/>
  <c r="H88" i="1"/>
  <c r="H80" i="1"/>
  <c r="H70" i="1"/>
  <c r="H50" i="1"/>
  <c r="H44" i="1"/>
  <c r="H28" i="1"/>
  <c r="H19" i="1"/>
  <c r="I266" i="1" l="1"/>
  <c r="E281" i="1" s="1"/>
  <c r="F281" i="1" s="1"/>
  <c r="H266" i="1"/>
  <c r="E280" i="1" s="1"/>
  <c r="F280" i="1" s="1"/>
  <c r="E290" i="1" l="1"/>
  <c r="E282" i="1"/>
  <c r="K272" i="1" s="1"/>
  <c r="K274" i="1" s="1"/>
  <c r="F282" i="1" l="1"/>
  <c r="G282" i="1" s="1"/>
  <c r="K287" i="1"/>
  <c r="K288" i="1" s="1"/>
</calcChain>
</file>

<file path=xl/sharedStrings.xml><?xml version="1.0" encoding="utf-8"?>
<sst xmlns="http://schemas.openxmlformats.org/spreadsheetml/2006/main" count="1768" uniqueCount="415">
  <si>
    <t>Date</t>
  </si>
  <si>
    <t>Name / Description</t>
  </si>
  <si>
    <t>Account</t>
  </si>
  <si>
    <t>Counterparty</t>
  </si>
  <si>
    <t>Code</t>
  </si>
  <si>
    <t>Debit/credit</t>
  </si>
  <si>
    <t>Amount (EUR)</t>
  </si>
  <si>
    <t>Transaction type</t>
  </si>
  <si>
    <t>Notifications</t>
  </si>
  <si>
    <t>Tag</t>
  </si>
  <si>
    <t>van Nieuwenhoven via Tikkie</t>
  </si>
  <si>
    <t>NL65INGB0100914934</t>
  </si>
  <si>
    <t>NL13ABNA0506417344</t>
  </si>
  <si>
    <t>IW</t>
  </si>
  <si>
    <t>Debit</t>
  </si>
  <si>
    <t>iDEAL | Wero</t>
  </si>
  <si>
    <t>Name: van Nieuwenhoven via Tikkie Description: 001198829732 0031145963077408 Ov NL25INGB0689869584 IBAN: NL13ABNA0506417344 Reference: 31-03-2026 21:26 0031145963077408 Value date: 31/03/2026</t>
  </si>
  <si>
    <t>SumUp Limited</t>
  </si>
  <si>
    <t>DK6289000000019590</t>
  </si>
  <si>
    <t>OV</t>
  </si>
  <si>
    <t>Credit</t>
  </si>
  <si>
    <t>Transfer</t>
  </si>
  <si>
    <t>Name: SumUp Limited Description: M23 PID1632503 IBAN: DK6289000000019590 Date/time: 31-03-2026 15:52:27 Value date: 31/03/2026</t>
  </si>
  <si>
    <t>ALBERT HEIJN 1670 ROTTERDAM NLD</t>
  </si>
  <si>
    <t>BA</t>
  </si>
  <si>
    <t>Payment terminal</t>
  </si>
  <si>
    <t>Card sequence no.: 001 30/03/2026 09:44 Transaction: C00694 Term: BS189410 Value date: 31/03/2026</t>
  </si>
  <si>
    <t>Card sequence no.: 001 30/03/2026 15:30 Transaction: P00680 Term: BS102656 Value date: 31/03/2026</t>
  </si>
  <si>
    <t>PENSIOENFONDS HORECA CAT</t>
  </si>
  <si>
    <t>NL25ABNA0523407939</t>
  </si>
  <si>
    <t>IC</t>
  </si>
  <si>
    <t>SEPA direct debit</t>
  </si>
  <si>
    <t>Name: PENSIOENFONDS HORECA CAT Description: Notadatum 04-03-2026 premie BR 250601815119-Notadatum 04-03-2026 premie BR 250601815119-- IBAN: NL25ABNA0523407939 Reference: 8-1107013-250601815119-0 Mandate ID: BR-864981594L01-01-01 Creditor ID: NL93ZZZ411525930000 Recurrent SEPA direct debit Value date: 31/03/2026</t>
  </si>
  <si>
    <t>Name: PENSIOENFONDS HORECA CAT Description: Notadatum 17-03-2026 premie BR 260601849727-Notadatum 17-03-2026 premie BR 260601849727-- IBAN: NL25ABNA0523407939 Reference: 10-1107013-260601849727-0 Mandate ID: BR-864981594L01-01-01 Creditor ID: NL93ZZZ411525930000 Recurrent SEPA direct debit Value date: 31/03/2026</t>
  </si>
  <si>
    <t>Name: SumUp Limited Description: M23 PID1631222 IBAN: DK6289000000019590 Date/time: 30-03-2026 16:46:20 Value date: 30/03/2026</t>
  </si>
  <si>
    <t>Card sequence no.: 001 29/03/2026 11:57 Transaction: P00679 Term: BS189408 Value date: 30/03/2026</t>
  </si>
  <si>
    <t>Card sequence no.: 001 29/03/2026 14:17 Transaction: D00693 Term: BS102666 Value date: 30/03/2026</t>
  </si>
  <si>
    <t>Card sequence no.: 001 28/03/2026 09:52 Transaction: D00691 Term: BS189412 Value date: 29/03/2026</t>
  </si>
  <si>
    <t>Card sequence no.: 001 28/03/2026 10:05 Transaction: D00692 Term: BS102666 Value date: 29/03/2026</t>
  </si>
  <si>
    <t>Card sequence no.: 001 27/03/2026 09:45 Transaction: D00690 Term: BS189410 Value date: 28/03/2026</t>
  </si>
  <si>
    <t>Name: SumUp Limited Description: M23 PID1627630 IBAN: DK6289000000019590 Date/time: 27-03-2026 15:49:25 Value date: 27/03/2026</t>
  </si>
  <si>
    <t>Card sequence no.: 001 26/03/2026 09:44 Transaction: P00677 Term: BS189412 Value date: 27/03/2026</t>
  </si>
  <si>
    <t>Card sequence no.: 001 26/03/2026 17:28 Transaction: W00678 Term: BS102662 Value date: 27/03/2026</t>
  </si>
  <si>
    <t>Kosten Zakelijk Betalingsverkeer</t>
  </si>
  <si>
    <t>DV</t>
  </si>
  <si>
    <t>Various</t>
  </si>
  <si>
    <t>Factuurnr. 2384551777 Betreft IBAN: NL65INGB0100914934 Periode: 01-02-2026 / 28-02-2026 Value date: 27/03/2026</t>
  </si>
  <si>
    <t>Name: SumUp Limited Description: M23 PID1626185 IBAN: DK6289000000019590 Date/time: 26-03-2026 15:33:03 Value date: 26/03/2026</t>
  </si>
  <si>
    <t>horecaontwikkelplatform.nl via Rabo Smart Pay</t>
  </si>
  <si>
    <t>NL29RABO0350803331</t>
  </si>
  <si>
    <t>Name: horecaontwikkelplatform.nl via Rabo Smart Pay Description: CXP002778546 0021445966213875 Factuur Horeca Ontwikkel Platform horecaontwikkelplatform.nl IBAN: NL29RABO0350803331 Reference: 26-03-2026 13:32 0021445966213875 Value date: 26/03/2026</t>
  </si>
  <si>
    <t>Card sequence no.: 001 25/03/2026 09:43 Transaction: P00676 Term: BS189411 Value date: 26/03/2026</t>
  </si>
  <si>
    <t>ODIDO NETHERLANDS B.V.</t>
  </si>
  <si>
    <t>NL12COBA0733959555</t>
  </si>
  <si>
    <t>Name: ODIDO NETHERLANDS B.V. Description: Mob 097008033512 Klantnr 1.21751116 Factuur 901626242200 Factuurdatum 18.03.2026 Factuur zien? Odido.nl/my/facturen IBAN: NL12COBA0733959555 Reference: 500639430038 Mandate ID: 1.21751116-001 Creditor ID: NL93ZZZ332656790051</t>
  </si>
  <si>
    <t>Name: SumUp Limited Description: M23 PID1624776 IBAN: DK6289000000019590 Date/time: 25-03-2026 15:38:53 Value date: 25/03/2026</t>
  </si>
  <si>
    <t>Card sequence no.: 001 24/03/2026 09:59 Transaction: W00674 Term: BS189408 Value date: 25/03/2026</t>
  </si>
  <si>
    <t>Card sequence no.: 001 24/03/2026 11:29 Transaction: W00675 Term: BS189411 Value date: 25/03/2026</t>
  </si>
  <si>
    <t>Hanos Nederland</t>
  </si>
  <si>
    <t>NL45INGB0680249346</t>
  </si>
  <si>
    <t>Name: Hanos Nederland Description: /REF/1100/0016077813/20802005254339 /HANOS/INV/401230414 22.3.2026 IBAN: NL45INGB0680249346 Reference: 2005254339 Mandate ID: HANOS9415 Creditor ID: NL17ZZZ090660180000 Recurrent business SEPA direct debit Value date: 25/03/2026</t>
  </si>
  <si>
    <t>Name: SumUp Limited Description: M23 PID1623334 IBAN: DK6289000000019590 Date/time: 24-03-2026 15:31:02 Value date: 24/03/2026</t>
  </si>
  <si>
    <t>Card sequence no.: 001 23/03/2026 09:46 Transaction: W00673 Term: BS102666 Value date: 24/03/2026</t>
  </si>
  <si>
    <t>Klepierre Markthal B.V.</t>
  </si>
  <si>
    <t>NL07INGB0007269947</t>
  </si>
  <si>
    <t>GT</t>
  </si>
  <si>
    <t>Online Banking</t>
  </si>
  <si>
    <t>Name: Klepierre Markthal B.V. Description: Factuur: 2026500297 IBAN: NL07INGB0007269947 Date/time: 24-03-2026 10:18:54 Value date: 24/03/2026</t>
  </si>
  <si>
    <t>Name: SumUp Limited Description: M23 PID1622065 IBAN: DK6289000000019590 Date/time: 23-03-2026 16:24:39 Value date: 23/03/2026</t>
  </si>
  <si>
    <t>Card sequence no.: 001 22/03/2026 11:53 Transaction: W00672 Term: BS102665 Value date: 23/03/2026</t>
  </si>
  <si>
    <t>Card sequence no.: 001 21/03/2026 10:02 Transaction: P00671 Term: BS189412 Value date: 22/03/2026</t>
  </si>
  <si>
    <t>Card sequence no.: 001 20/03/2026 09:48 Transaction: D00689 Term: BS189412 Value date: 21/03/2026</t>
  </si>
  <si>
    <t>Name: SumUp Limited Description: M23 PID1594937 IBAN: DK6289000000019590 Date/time: 20-03-2026 16:34:37 Value date: 20/03/2026</t>
  </si>
  <si>
    <t>Card sequence no.: 001 19/03/2026 09:42 Transaction: C00688 Term: BS189410 Value date: 20/03/2026</t>
  </si>
  <si>
    <t>Name: SumUp Limited Description: M23 PID1590645 IBAN: DK6289000000019590 Date/time: 19-03-2026 16:33:00 Value date: 19/03/2026</t>
  </si>
  <si>
    <t>Card sequence no.: 001 18/03/2026 09:45 Transaction: P00670 Term: BS189410 Value date: 19/03/2026</t>
  </si>
  <si>
    <t>Name: SumUp Limited Description: M23 PID1589203 IBAN: DK6289000000019590 Date/time: 18-03-2026 16:24:57 Value date: 18/03/2026</t>
  </si>
  <si>
    <t>Card sequence no.: 001 17/03/2026 09:46 Transaction: P00669 Term: BS102665 Value date: 18/03/2026</t>
  </si>
  <si>
    <t>Name: Hanos Nederland Description: /REF/1100/0016077813/20802005243056 /HANOS/INV/401223005 15.3.2026 IBAN: NL45INGB0680249346 Reference: 2005243056 Mandate ID: HANOS9415 Creditor ID: NL17ZZZ090660180000 Recurrent business SEPA direct debit Value date: 18/03/2026</t>
  </si>
  <si>
    <t>Name: SumUp Limited Description: M23 PID1587808 IBAN: DK6289000000019590 Date/time: 17-03-2026 16:20:17 Value date: 17/03/2026</t>
  </si>
  <si>
    <t>Card sequence no.: 001 16/03/2026 09:56 Transaction: C00686 Term: BS189412 Value date: 17/03/2026</t>
  </si>
  <si>
    <t>Card sequence no.: 001 16/03/2026 12:15 Transaction: D00687 Term: BS102657 Value date: 17/03/2026</t>
  </si>
  <si>
    <t>Name: SumUp Limited Description: M23 PID1586467 IBAN: DK6289000000019590 Date/time: 16-03-2026 18:25:16 Value date: 16/03/2026</t>
  </si>
  <si>
    <t>Disposable Discounter - Nederland via MultiSafepay</t>
  </si>
  <si>
    <t>NL17DEUT0265262879</t>
  </si>
  <si>
    <t>Name: Disposable Discounter - Nederland via MultiSafepay Description: 1456162836 8151625957782951 Payment for order ?2262858168 Disposable Discounter - Nederland IBAN: NL17DEUT0265262879 Reference: 16-03-2026 11:05 8151625957782951 Value date: 16/03/2026</t>
  </si>
  <si>
    <t>Card sequence no.: 001 15/03/2026 11:32 Transaction: P00668 Term: BS102666 Value date: 16/03/2026</t>
  </si>
  <si>
    <t>Card sequence no.: 001 15/03/2026 15:06 Transaction: C00685 Term: BS189411 Value date: 16/03/2026</t>
  </si>
  <si>
    <t>SUREBUSINESS BV</t>
  </si>
  <si>
    <t>NL81ABNA0497493187</t>
  </si>
  <si>
    <t>Name: SUREBUSINESS BV Description: Kenmerk: 1001.7771.0717.4494 Omschrijving: MKB Zakenpakke prol.premie 03/26 1 mnd Yezzer Verzekeringen, SUREbusiness IBAN: NL81ABNA0497493187 Reference: 1001777107174494 Mandate ID: 806202309151521284030002 Creditor ID: NL98ZZZ642177280000</t>
  </si>
  <si>
    <t>Card sequence no.: 001 14/03/2026 16:18 Transaction: P00667 Term: BS102657 Value date: 15/03/2026</t>
  </si>
  <si>
    <t>Card sequence no.: 001 14/03/2026 09:50 Transaction: P00666 Term: BS102655 Value date: 15/03/2026</t>
  </si>
  <si>
    <t>Printerpro.nl Rdam ROTTERDAM NLD</t>
  </si>
  <si>
    <t>Card sequence no.: 001 13/03/2026 11:07 Transaction: D00684 Term: FGZ4RC Value date: 14/03/2026</t>
  </si>
  <si>
    <t>Card sequence no.: 001 13/03/2026 09:46 Transaction: W00665 Term: BS189410 Value date: 14/03/2026</t>
  </si>
  <si>
    <t>Fleur de cafe via Stichting Mollie Payments</t>
  </si>
  <si>
    <t>NL51DEUT0265262461</t>
  </si>
  <si>
    <t>Name: Fleur de cafe via Stichting Mollie Payments Description: 715fe76f797df1de62fedcb7285912f5 8152446560610136 VO26011336 fleurdecafe.nl Fleur de cafe IBAN: NL51DEUT0265262461 Reference: 14-03-2026 12:14 8152446560610136 Value date: 14/03/2026</t>
  </si>
  <si>
    <t>Belastingdienst</t>
  </si>
  <si>
    <t>NL86INGB0002445588</t>
  </si>
  <si>
    <t>Name: Belastingdienst Description: 2864981596601020 IBAN: NL86INGB0002445588 Value date: 14/03/2026</t>
  </si>
  <si>
    <t>Name: SumUp Limited Description: M23 PID1582837 IBAN: DK6289000000019590 Date/time: 13-03-2026 16:07:15 Value date: 13/03/2026</t>
  </si>
  <si>
    <t>Card sequence no.: 001 12/03/2026 09:44 Transaction: W00664 Term: BS189410 Value date: 13/03/2026</t>
  </si>
  <si>
    <t>Name: SumUp Limited Description: M23 PID1581424 IBAN: DK6289000000019590 Date/time: 12-03-2026 15:16:52 Value date: 12/03/2026</t>
  </si>
  <si>
    <t>One.com Group AB</t>
  </si>
  <si>
    <t>DE75202208000000019190</t>
  </si>
  <si>
    <t>Name: One.com Group AB Description: 76EKBRC 7140366563734933 ONE.COM IBAN: DE75202208000000019190 Reference: 12-03-2026 14:25 7140366563734933 Value date: 12/03/2026</t>
  </si>
  <si>
    <t>Card sequence no.: 001 11/03/2026 09:30 Transaction: P00663 Term: BS102654 Value date: 12/03/2026</t>
  </si>
  <si>
    <t>Name: van Nieuwenhoven via Tikkie Description: 001187694567 0031915666616628 Ov van de maand februari nog NL25INGB0689869584 IBAN: NL13ABNA0506417344 Reference: 12-03-2026 10:15 0031915666616628 Value date: 12/03/2026</t>
  </si>
  <si>
    <t>Name: SumUp Limited Description: M23 PID1580053 IBAN: DK6289000000019590 Date/time: 11-03-2026 15:17:29 Value date: 11/03/2026</t>
  </si>
  <si>
    <t>Card sequence no.: 001 10/03/2026 11:30 Transaction: W00662 Term: BS189410 Value date: 11/03/2026</t>
  </si>
  <si>
    <t>Card sequence no.: 001 10/03/2026 09:24 Transaction: W00661 Term: BS189410 Value date: 11/03/2026</t>
  </si>
  <si>
    <t>Name: Hanos Nederland Description: /REF/1100/0016077813/20802005232632 /HANOS/INV/401215562 8.3.2026 IBAN: NL45INGB0680249346 Reference: 2005232632 Mandate ID: HANOS9415 Creditor ID: NL17ZZZ090660180000 Recurrent business SEPA direct debit Value date: 11/03/2026</t>
  </si>
  <si>
    <t>Name: ODIDO NETHERLANDS B.V. Description: Factuurnummer 901621798674 IBAN: NL12COBA0733959555 Reference: 500935777997 Mandate ID: 1.22430886 Creditor ID: NL93ZZZ332656790051 Recurrent SEPA direct debit Value date: 11/03/2026</t>
  </si>
  <si>
    <t>Name: SumUp Limited Description: M23 PID1578657 IBAN: DK6289000000019590 Date/time: 10-03-2026 16:18:15 Value date: 10/03/2026</t>
  </si>
  <si>
    <t>Card sequence no.: 001 09/03/2026 09:50 Transaction: C00683 Term: BS189408 Value date: 10/03/2026</t>
  </si>
  <si>
    <t>Name: SumUp Limited Description: M23 PID1577357 IBAN: DK6289000000019590 Date/time: 09-03-2026 17:13:48 Value date: 09/03/2026</t>
  </si>
  <si>
    <t>Card sequence no.: 001 08/03/2026 11:39 Transaction: P00660 Term: BS189410 Value date: 09/03/2026</t>
  </si>
  <si>
    <t>Shiftbase via Mollie</t>
  </si>
  <si>
    <t>NL54DEUT7026602981</t>
  </si>
  <si>
    <t>Name: Shiftbase via Mollie Description: INV2026-19958 95253 Shiftbase IBAN: NL54DEUT7026602981 Reference: SD46-7164-3463-4950 Mandate ID: MD87-8424-0832-6925 Creditor ID: NL08ZZZ502057730000 Recurrent SEPA direct debit Other party: STICHTING MOLLIE PAYMENTS Value date: 09/03/2026</t>
  </si>
  <si>
    <t>Stofzakkie.nl</t>
  </si>
  <si>
    <t>NL70RABO0115600000</t>
  </si>
  <si>
    <t>Name: Stofzakkie.nl Description: M02600831MQJ0X4H 0380475667078352 Order O2026-45868 stofzakkie.nl IBAN: NL70RABO0115600000 Reference: 08-03-2026 13:58 0380475667078352 Value date: 08/03/2026</t>
  </si>
  <si>
    <t>Card sequence no.: 001 07/03/2026 17:08 Transaction: C00682 Term: BS102665 Value date: 08/03/2026</t>
  </si>
  <si>
    <t>Card sequence no.: 001 07/03/2026 09:50 Transaction: C00681 Term: BS102665 Value date: 08/03/2026</t>
  </si>
  <si>
    <t>Card sequence no.: 001 06/03/2026 09:49 Transaction: W00659 Term: BS189410 Value date: 07/03/2026</t>
  </si>
  <si>
    <t>Name: SumUp Limited Description: M23 PID1573534 IBAN: DK6289000000019590 Date/time: 06-03-2026 15:19:06 Value date: 06/03/2026</t>
  </si>
  <si>
    <t>Card sequence no.: 001 05/03/2026 09:38 Transaction: W00658 Term: BS189410 Value date: 06/03/2026</t>
  </si>
  <si>
    <t>FJORD Eat &amp; Drink ROTTERDAM NLD</t>
  </si>
  <si>
    <t>Card sequence no.: 901 05/03/2026 13:18 Transaction: C00680 Term: 467P5X Apple Pay Value date: 06/03/2026</t>
  </si>
  <si>
    <t>Name: SumUp Limited Description: M23 PID1572121 IBAN: DK6289000000019590 Date/time: 05-03-2026 16:25:57 Value date: 05/03/2026</t>
  </si>
  <si>
    <t>Card sequence no.: 001 04/03/2026 09:40 Transaction: D00679 Term: BS102654 Value date: 05/03/2026</t>
  </si>
  <si>
    <t>Name: SumUp Limited Description: M23 PID1570672 IBAN: DK6289000000019590 Date/time: 04-03-2026 16:27:00 Value date: 04/03/2026</t>
  </si>
  <si>
    <t>Name: Klepierre Markthal B.V. Description: Factuur: 2026500208 IBAN: NL07INGB0007269947 Date/time: 04-03-2026 13:12:43 Value date: 04/03/2026</t>
  </si>
  <si>
    <t>Card sequence no.: 001 03/03/2026 10:26 Transaction: C00678 Term: BS189410 Value date: 04/03/2026</t>
  </si>
  <si>
    <t>Name: Hanos Nederland Description: /REF/1100/0016077813/20802005223002 /HANOS/INV/401208225 1.3.2026 IBAN: NL45INGB0680249346 Reference: 2005223002 Mandate ID: HANOS9415 Creditor ID: NL17ZZZ090660180000 Recurrent business SEPA direct debit Value date: 04/03/2026</t>
  </si>
  <si>
    <t>Name: SumUp Limited Description: M23 PID1569217 IBAN: DK6289000000019590 Date/time: 03-03-2026 16:11:57 Value date: 03/03/2026</t>
  </si>
  <si>
    <t>Card sequence no.: 001 02/03/2026 13:52 Transaction: P00657 Term: BS189412 Value date: 03/03/2026</t>
  </si>
  <si>
    <t>Card sequence no.: 001 02/03/2026 09:44 Transaction: D00676 Term: BS102654 Value date: 03/03/2026</t>
  </si>
  <si>
    <t>Card sequence no.: 001 02/03/2026 17:14 Transaction: D00677 Term: BS102655 Value date: 03/03/2026</t>
  </si>
  <si>
    <t>Name: SumUp Limited Description: M23 PID1567871 IBAN: DK6289000000019590 Date/time: 02-03-2026 17:42:06 Value date: 02/03/2026</t>
  </si>
  <si>
    <t>Echt Rotterdams bv</t>
  </si>
  <si>
    <t>NL03INGB0100189423</t>
  </si>
  <si>
    <t>Name: Echt Rotterdams bv Description: Factuur 2026-0002 IBAN: NL03INGB0100189423 Date/time: 02-03-2026 16:58:54 Value date: 02/03/2026</t>
  </si>
  <si>
    <t>L CHIRINOS</t>
  </si>
  <si>
    <t>NL83REVO4405522979</t>
  </si>
  <si>
    <t>Name: L CHIRINOS Description: 02 IBAN: NL83REVO4405522979 Reference: SEPA20260302101809-10-1 Date/time: 02-03-2026 13:02:28 Value date: 02/03/2026</t>
  </si>
  <si>
    <t>H CORREA RADWANSKI</t>
  </si>
  <si>
    <t>BE14967974687183</t>
  </si>
  <si>
    <t>Name: H CORREA RADWANSKI Description: 02 IBAN: BE14967974687183 Reference: SEPA20260302101809-9-1 Date/time: 02-03-2026 13:02:28 Value date: 02/03/2026</t>
  </si>
  <si>
    <t>MW DEN OTTER</t>
  </si>
  <si>
    <t>NL63RABO0303088710</t>
  </si>
  <si>
    <t>Name: MW DEN OTTER Description: 02 IBAN: NL63RABO0303088710 Reference: SEPA20260302101809-5-1 Date/time: 02-03-2026 13:02:28 Value date: 02/03/2026</t>
  </si>
  <si>
    <t>HL FRANKEN-SNOEI</t>
  </si>
  <si>
    <t>NL58RABO0343630338</t>
  </si>
  <si>
    <t>Name: HL FRANKEN-SNOEI Description: 02 IBAN: NL58RABO0343630338 Reference: SEPA20260302101809-3-1 Date/time: 02-03-2026 13:02:28 Value date: 02/03/2026</t>
  </si>
  <si>
    <t>D CHOCTO</t>
  </si>
  <si>
    <t>NL17ABNA0861746120</t>
  </si>
  <si>
    <t>Name: D CHOCTO Description: 02 IBAN: NL17ABNA0861746120 Reference: SEPA20260302101809-4-1 Date/time: 02-03-2026 13:02:28 Value date: 02/03/2026</t>
  </si>
  <si>
    <t>S AHANSSAS</t>
  </si>
  <si>
    <t>NL62ABNA0860812073</t>
  </si>
  <si>
    <t>Name: S AHANSSAS Description: 02 IBAN: NL62ABNA0860812073 Reference: SEPA20260302101809-7-1 Date/time: 02-03-2026 13:02:28 Value date: 02/03/2026</t>
  </si>
  <si>
    <t>D TUNCEL</t>
  </si>
  <si>
    <t>NL71ABNA0574634363</t>
  </si>
  <si>
    <t>Name: D TUNCEL Description: 02 IBAN: NL71ABNA0574634363 Reference: SEPA20260302101809-1-1 Date/time: 02-03-2026 13:02:28 Value date: 02/03/2026</t>
  </si>
  <si>
    <t>T COSTA</t>
  </si>
  <si>
    <t>NL28ABNA0104805064</t>
  </si>
  <si>
    <t>Name: T COSTA Description: 02 IBAN: NL28ABNA0104805064 Reference: SEPA20260302101809-6-1 Date/time: 02-03-2026 13:02:28 Value date: 02/03/2026</t>
  </si>
  <si>
    <t>S VAN NIEUWENHOVEN</t>
  </si>
  <si>
    <t>NL25INGB0689869584</t>
  </si>
  <si>
    <t>Name: S VAN NIEUWENHOVEN Description: 02 IBAN: NL25INGB0689869584 Reference: SEPA20260302101809-2-1 Date/time: 02-03-2026 13:02:28 Value date: 02/03/2026</t>
  </si>
  <si>
    <t>J.P. MEIJER</t>
  </si>
  <si>
    <t>NL60INGB0688315305</t>
  </si>
  <si>
    <t>Name: J.P. MEIJER Description: 02 IBAN: NL60INGB0688315305 Reference: SEPA20260302101809-8-1 Date/time: 02-03-2026 13:02:28 Value date: 02/03/2026</t>
  </si>
  <si>
    <t>Card sequence no.: 001 01/03/2026 11:51 Transaction: W00656 Term: BS102666 Value date: 02/03/2026</t>
  </si>
  <si>
    <t>Card sequence no.: 001 28/02/2026 09:49 Transaction: D00674 Term: BS102666 Value date: 01/03/2026</t>
  </si>
  <si>
    <t>Card sequence no.: 001 28/02/2026 17:10 Transaction: P00655 Term: BS102661 Value date: 01/03/2026</t>
  </si>
  <si>
    <t>Card sequence no.: 001 28/02/2026 16:15 Transaction: C00675 Term: BS102666 Value date: 01/03/2026</t>
  </si>
  <si>
    <t>Card sequence no.: 001 27/02/2026 09:49 Transaction: C00673 Term: BS102666 Value date: 28/02/2026</t>
  </si>
  <si>
    <t>Name: SumUp Limited Description: M23 PID1564412 IBAN: DK6289000000019590 Date/time: 27-02-2026 17:00:05 Value date: 27/02/2026</t>
  </si>
  <si>
    <t>Card sequence no.: 001 26/02/2026 09:49 Transaction: D00672 Term: BS102658 Value date: 27/02/2026</t>
  </si>
  <si>
    <t>Name: SumUp Limited Description: M23 PID1562943 IBAN: DK6289000000019590 Date/time: 26-02-2026 16:29:18 Value date: 26/02/2026</t>
  </si>
  <si>
    <t>Card sequence no.: 001 25/02/2026 15:04 Transaction: C00671 Term: BS189408 Value date: 26/02/2026</t>
  </si>
  <si>
    <t>Card sequence no.: 001 25/02/2026 11:42 Transaction: C00670 Term: BS102666 Value date: 26/02/2026</t>
  </si>
  <si>
    <t>Card sequence no.: 001 25/02/2026 09:44 Transaction: C00669 Term: BS189412 Value date: 26/02/2026</t>
  </si>
  <si>
    <t>Card sequence no.: 001 24/02/2026 09:49 Transaction: D00668 Term: BS102654 Value date: 26/02/2026</t>
  </si>
  <si>
    <t>Factuurnr. 2376218219 Betreft IBAN: NL65INGB0100914934 Periode: 01-01-2026 / 31-01-2026 Value date: 26/02/2026</t>
  </si>
  <si>
    <t>Name: ODIDO NETHERLANDS B.V. Description: Mob 097008033512 Klantnr 1.21751116 Factuur 901622654024 Factuurdatum 18.02.2026 Factuur zien? Odido.nl/my/facturen IBAN: NL12COBA0733959555 Reference: 500538209861 Mandate ID: 1.21751116-001 Creditor ID: NL93ZZZ332656790051</t>
  </si>
  <si>
    <t>Name: SumUp Limited Description: M23 PID1561567 IBAN: DK6289000000019590 Date/time: 25-02-2026 16:40:37 Value date: 25/02/2026</t>
  </si>
  <si>
    <t>Name: Hanos Nederland Description: /REF/1100/0016077813/20802005212975 /HANOS/INV/401200965 22.2.2026 IBAN: NL45INGB0680249346 Reference: 2005212975 Mandate ID: HANOS9415 Creditor ID: NL17ZZZ090660180000 Recurrent business SEPA direct debit Value date: 25/02/2026</t>
  </si>
  <si>
    <t>Name: SumUp Limited Description: M23 PID1560218 IBAN: DK6289000000019590 Date/time: 24-02-2026 16:28:13 Value date: 24/02/2026</t>
  </si>
  <si>
    <t>Card sequence no.: 001 23/02/2026 09:45 Transaction: C00667 Term: BS102654 Value date: 24/02/2026</t>
  </si>
  <si>
    <t>Name: SumUp Limited Description: M23 PID1558953 IBAN: DK6289000000019590 Date/time: 23-02-2026 17:42:17 Value date: 23/02/2026</t>
  </si>
  <si>
    <t>Fleur de cafe</t>
  </si>
  <si>
    <t>Name: Fleur de cafe Description: M19259024MQECEEO 0380686252266839 VO26009903 fleurdecafe.nl IBAN: NL70RABO0115600000 Reference: 23-02-2026 11:48 0380686252266839 Value date: 23/02/2026</t>
  </si>
  <si>
    <t>Card sequence no.: 001 22/02/2026 11:45 Transaction: D00666 Term: BS189412 Value date: 23/02/2026</t>
  </si>
  <si>
    <t>Card sequence no.: 001 21/02/2026 12:59 Transaction: W00654 Term: BS189411 Value date: 22/02/2026</t>
  </si>
  <si>
    <t>Card sequence no.: 001 21/02/2026 10:18 Transaction: D00664 Term: BS189408 Value date: 22/02/2026</t>
  </si>
  <si>
    <t>Card sequence no.: 001 21/02/2026 17:54 Transaction: C00665 Term: BS102656 Value date: 22/02/2026</t>
  </si>
  <si>
    <t>Card sequence no.: 001 21/02/2026 10:18 Transaction: D00663 Term: BS189408 Value date: 22/02/2026</t>
  </si>
  <si>
    <t>Card sequence no.: 001 20/02/2026 09:54 Transaction: W00653 Term: BS189412 Value date: 21/02/2026</t>
  </si>
  <si>
    <t>Card sequence no.: 001 20/02/2026 13:55 Transaction: C00662 Term: BS189408 Value date: 21/02/2026</t>
  </si>
  <si>
    <t>Name: SumUp Limited Description: M23 PID1555304 IBAN: DK6289000000019590 Date/time: 20-02-2026 15:59:56 Value date: 20/02/2026</t>
  </si>
  <si>
    <t>Card sequence no.: 001 19/02/2026 09:52 Transaction: D00661 Term: BS189410 Value date: 20/02/2026</t>
  </si>
  <si>
    <t>Card sequence no.: 001 19/02/2026 10:56 Transaction: W00652 Term: BS102654 Value date: 20/02/2026</t>
  </si>
  <si>
    <t>Name: SumUp Limited Description: M23 PID1553846 IBAN: DK6289000000019590 Date/time: 19-02-2026 15:51:16 Value date: 19/02/2026</t>
  </si>
  <si>
    <t>Card sequence no.: 001 18/02/2026 09:35 Transaction: P00651 Term: BS102654 Value date: 19/02/2026</t>
  </si>
  <si>
    <t>Name: SumUp Limited Description: M23 PID1552570 IBAN: DK6289000000019590 Date/time: 18-02-2026 16:36:46 Value date: 18/02/2026</t>
  </si>
  <si>
    <t>Card sequence no.: 001 17/02/2026 09:32 Transaction: W00649 Term: BS189412 Value date: 18/02/2026</t>
  </si>
  <si>
    <t>Card sequence no.: 001 17/02/2026 16:52 Transaction: P00650 Term: BS102655 Value date: 18/02/2026</t>
  </si>
  <si>
    <t>Name: Hanos Nederland Description: /REF/1100/0016077813/20802005202670 /HANOS/INV/401193776 15.2.2026 IBAN: NL45INGB0680249346 Reference: 2005202670 Mandate ID: HANOS9415 Creditor ID: NL17ZZZ090660180000 Recurrent business SEPA direct debit Value date: 18/02/2026</t>
  </si>
  <si>
    <t>Name: SumUp Limited Description: M23 PID1551460 IBAN: DK6289000000019590 Date/time: 17-02-2026 17:20:03 Value date: 17/02/2026</t>
  </si>
  <si>
    <t>Card sequence no.: 001 16/02/2026 09:47 Transaction: D00660 Term: BS189410 Value date: 17/02/2026</t>
  </si>
  <si>
    <t>Card sequence no.: 001 16/02/2026 09:58 Transaction: W00648 Term: BS189410 Value date: 17/02/2026</t>
  </si>
  <si>
    <t>Name: SumUp Limited Description: M23 PID1550288 IBAN: DK6289000000019590 Date/time: 16-02-2026 17:55:29 Value date: 16/02/2026</t>
  </si>
  <si>
    <t>Card sequence no.: 001 15/02/2026 12:00 Transaction: P00647 Term: BS102655 Value date: 16/02/2026</t>
  </si>
  <si>
    <t>Name: SUREBUSINESS BV Description: Kenmerk: 9001.7454.3617.4494 Omschrijving: MKB Zakenpakke prol.premie 02/26 1 mnd Yezzer Verzekeringen, SUREbusiness IBAN: NL81ABNA0497493187 Reference: 9001745436174494 Mandate ID: 806202309151521284030002 Creditor ID: NL98ZZZ642177280000</t>
  </si>
  <si>
    <t>Card sequence no.: 001 14/02/2026 09:51 Transaction: P00646 Term: BS189412 Value date: 15/02/2026</t>
  </si>
  <si>
    <t>Card sequence no.: 001 13/02/2026 09:52 Transaction: W00645 Term: BS189408 Value date: 14/02/2026</t>
  </si>
  <si>
    <t>Name: SumUp Limited Description: M23 PID1546608 IBAN: DK6289000000019590 Date/time: 13-02-2026 16:00:50 Value date: 13/02/2026</t>
  </si>
  <si>
    <t>Name: Belastingdienst Description: 0498159609301120 IBAN: NL86INGB0002445588 Date/time: 13-02-2026 15:15:32 Value date: 13/02/2026</t>
  </si>
  <si>
    <t>Card sequence no.: 001 12/02/2026 09:35 Transaction: C00659 Term: BS189410 Value date: 13/02/2026</t>
  </si>
  <si>
    <t>BELASTINGDIENST</t>
  </si>
  <si>
    <t>NL36INGB0003445588</t>
  </si>
  <si>
    <t>VZ</t>
  </si>
  <si>
    <t>Batch payment</t>
  </si>
  <si>
    <t>Name: BELASTINGDIENST Description: TERUGGAAF NR. 864981594O015300 OB.4EKWART25 (BRUNCH ) IBAN: NL36INGB0003445588 Reference: COAXX081183780202602101801141364119 Value date: 13/02/2026</t>
  </si>
  <si>
    <t>Name: SumUp Limited Description: M23 PID1545142 IBAN: DK6289000000019590 Date/time: 12-02-2026 16:37:25 Value date: 12/02/2026</t>
  </si>
  <si>
    <t>Card sequence no.: 001 11/02/2026 09:34 Transaction: D00658 Term: BS102654 Value date: 12/02/2026</t>
  </si>
  <si>
    <t>Name: Belastingdienst Description: 6864981596601010 IBAN: NL86INGB0002445588 Value date: 12/02/2026</t>
  </si>
  <si>
    <t>Name: SumUp Limited Description: M23 PID1543728 IBAN: DK6289000000019590 Date/time: 11-02-2026 17:08:51 Value date: 11/02/2026</t>
  </si>
  <si>
    <t>Card sequence no.: 001 10/02/2026 09:51 Transaction: C00657 Term: BS102662 Value date: 11/02/2026</t>
  </si>
  <si>
    <t>Name: Hanos Nederland Description: /REF/1100/0016077813/20802005192832 /HANOS/INV/401186531 8.2.2026 IBAN: NL45INGB0680249346 Reference: 2005192832 Mandate ID: HANOS9415 Creditor ID: NL17ZZZ090660180000 Recurrent business SEPA direct debit Value date: 11/02/2026</t>
  </si>
  <si>
    <t>Name: SumUp Limited Description: M23 PID1542263 IBAN: DK6289000000019590 Date/time: 10-02-2026 17:19:22 Value date: 10/02/2026</t>
  </si>
  <si>
    <t>Card sequence no.: 001 09/02/2026 09:48 Transaction: D00656 Term: BS189410 Value date: 10/02/2026</t>
  </si>
  <si>
    <t>Name: SumUp Limited Description: M23 PID1540934 IBAN: DK6289000000019590 Date/time: 09-02-2026 18:03:58 Value date: 09/02/2026</t>
  </si>
  <si>
    <t>Card sequence no.: 001 08/02/2026 11:57 Transaction: D00654 Term: BS102665 Value date: 09/02/2026</t>
  </si>
  <si>
    <t>Card sequence no.: 001 08/02/2026 13:16 Transaction: C00655 Term: BS127763 Value date: 09/02/2026</t>
  </si>
  <si>
    <t>Name: Shiftbase via Mollie Description: INV2026-13396 95253 Shiftbase IBAN: NL54DEUT7026602981 Reference: SD62-3199-1770-6414 Mandate ID: MD87-8424-0832-6925 Creditor ID: NL08ZZZ502057730000 Recurrent SEPA direct debit Other party: STICHTING MOLLIE PAYMENTS Value date: 09/02/2026</t>
  </si>
  <si>
    <t>Card sequence no.: 001 07/02/2026 16:52 Transaction: P00644 Term: BS149836 Value date: 08/02/2026</t>
  </si>
  <si>
    <t>Card sequence no.: 001 07/02/2026 10:00 Transaction: W00643 Term: BS149836 Value date: 08/02/2026</t>
  </si>
  <si>
    <t>Card sequence no.: 001 06/02/2026 09:47 Transaction: C00653 Term: BS149836 Value date: 07/02/2026</t>
  </si>
  <si>
    <t>Name: SumUp Limited Description: M23 PID1537150 IBAN: DK6289000000019590 Date/time: 06-02-2026 16:49:24 Value date: 06/02/2026</t>
  </si>
  <si>
    <t>Name: SumUp Limited Description: M23 PID1535590 IBAN: DK6289000000019590 Date/time: 05-02-2026 16:21:54 Value date: 05/02/2026</t>
  </si>
  <si>
    <t>Mrs Hilary Joy Lacy MR FRANK W LACY</t>
  </si>
  <si>
    <t>GB28HBUK40477380603201</t>
  </si>
  <si>
    <t>Name: Mrs Hilary Joy Lacy MR FRANK W LACY IBAN: GB28HBUK40477380603201 Reference: RBF05026IW39D7Y8 Value date: 05/02/2026</t>
  </si>
  <si>
    <t>Name: ODIDO NETHERLANDS B.V. Description: Factuurnummer 901617694512 IBAN: NL12COBA0733959555 Reference: 500639041740 Mandate ID: 1.22430886 Creditor ID: NL93ZZZ332656790051 Recurrent SEPA direct debit Value date: 05/02/2026</t>
  </si>
  <si>
    <t>Name: SumUp Limited Description: M23 PID1534165 IBAN: DK6289000000019590 Date/time: 04-02-2026 16:53:21 Value date: 04/02/2026</t>
  </si>
  <si>
    <t>Name: Hanos Nederland Description: /REF/1100/0016077813/20802005183226 /HANOS/INV/401179396 1.2.2026 IBAN: NL45INGB0680249346 Reference: 2005183226 Mandate ID: HANOS9415 Creditor ID: NL17ZZZ090660180000 Recurrent business SEPA direct debit Value date: 04/02/2026</t>
  </si>
  <si>
    <t>Name: SumUp Limited Description: M23 PID1532688 IBAN: DK6289000000019590 Date/time: 03-02-2026 15:58:13 Value date: 03/02/2026</t>
  </si>
  <si>
    <t>Card sequence no.: 001 02/02/2026 09:46 Transaction: C00652 Term: BS149836 Value date: 03/02/2026</t>
  </si>
  <si>
    <t>Name: SumUp Limited Description: M23 PID1531360 IBAN: DK6289000000019590 Date/time: 02-02-2026 17:29:41 Value date: 02/02/2026</t>
  </si>
  <si>
    <t>SDD NGUYEN</t>
  </si>
  <si>
    <t>NL71INGB0755605268</t>
  </si>
  <si>
    <t>Name: SDD NGUYEN Description: 01 IBAN: NL71INGB0755605268 Reference: SEPA20260202095908-11-1 Value date: 02/02/2026</t>
  </si>
  <si>
    <t>Name: S VAN NIEUWENHOVEN Description: 01 IBAN: NL25INGB0689869584 Reference: SEPA20260202095908-2-1 Value date: 02/02/2026</t>
  </si>
  <si>
    <t>Name: J.P. MEIJER Description: 01 IBAN: NL60INGB0688315305 Reference: SEPA20260202095908-9-1 Value date: 02/02/2026</t>
  </si>
  <si>
    <t>HLH KAYA</t>
  </si>
  <si>
    <t>NL43ASNB0782411894</t>
  </si>
  <si>
    <t>Name: HLH KAYA Description: 01 IBAN: NL43ASNB0782411894 Reference: SEPA20260202095908-4-1 Value date: 02/02/2026</t>
  </si>
  <si>
    <t>Name: H CORREA RADWANSKI Description: 01 IBAN: BE14967974687183 Reference: SEPA20260202095908-10-1 Value date: 02/02/2026</t>
  </si>
  <si>
    <t>Name: L CHIRINOS Description: 01 IBAN: NL83REVO4405522979 Reference: SEPA20260202095908-12-1 Value date: 02/02/2026</t>
  </si>
  <si>
    <t>Name: D TUNCEL Description: 01 IBAN: NL71ABNA0574634363 Reference: SEPA20260202095908-1-1 Value date: 02/02/2026</t>
  </si>
  <si>
    <t>Name: HL FRANKEN-SNOEI Description: 01 IBAN: NL58RABO0343630338 Reference: SEPA20260202095908-3-1 Value date: 02/02/2026</t>
  </si>
  <si>
    <t>Name: D CHOCTO Description: 01 IBAN: NL17ABNA0861746120 Reference: SEPA20260202095908-5-1 Value date: 02/02/2026</t>
  </si>
  <si>
    <t>Name: T COSTA Description: 01 IBAN: NL28ABNA0104805064 Reference: SEPA20260202095908-7-1 Value date: 02/02/2026</t>
  </si>
  <si>
    <t>Name: MW DEN OTTER Description: 01 IBAN: NL63RABO0303088710 Reference: SEPA20260202095908-6-1 Value date: 02/02/2026</t>
  </si>
  <si>
    <t>Name: S AHANSSAS Description: 01 IBAN: NL62ABNA0860812073 Reference: SEPA20260202095908-8-1 Value date: 02/02/2026</t>
  </si>
  <si>
    <t>ING DEPOSIT</t>
  </si>
  <si>
    <t>ST</t>
  </si>
  <si>
    <t>Deposit</t>
  </si>
  <si>
    <t>Geldmaat Keizerswaard 63 812124 CARD SEQUENCE NO. 001 02/02/2026 10:52 TRANSACTION NO. 603310918454 Value date: 02/02/2026</t>
  </si>
  <si>
    <t>Geldmaat Keizerswaard 63 812020 CARD SEQUENCE NO. 001 02/02/2026 10:54 TRANSACTION NO. 603310870936 Value date: 02/02/2026</t>
  </si>
  <si>
    <t>Card sequence no.: 001 01/02/2026 12:09 Transaction: C00651 Term: BS102658 Value date: 02/02/2026</t>
  </si>
  <si>
    <t>Card sequence no.: 001 01/02/2026 11:37 Transaction: D00650 Term: BS127765 Value date: 02/02/2026</t>
  </si>
  <si>
    <t>Card sequence no.: 001 31/01/2026 09:52 Transaction: W00642 Term: BS127765 Value date: 01/02/2026</t>
  </si>
  <si>
    <t>Card sequence no.: 001 30/01/2026 09:46 Transaction: C00649 Term: BS149836 Value date: 31/01/2026</t>
  </si>
  <si>
    <t>Name: van Nieuwenhoven via Tikkie Description: 001166492637 0031015061758350 Ov NL25INGB0689869584 IBAN: NL13ABNA0506417344 Reference: 30-01-2026 22:06 0031015061758350 Value date: 30/01/2026</t>
  </si>
  <si>
    <t>Name: SumUp Limited Description: M23 PID1527526 IBAN: DK6289000000019590 Date/time: 30-01-2026 16:36:03 Value date: 30/01/2026</t>
  </si>
  <si>
    <t>Card sequence no.: 001 29/01/2026 09:43 Transaction: C00647 Term: BS102664 Value date: 30/01/2026</t>
  </si>
  <si>
    <t>Card sequence no.: 001 29/01/2026 17:19 Transaction: C00648 Term: BS102666 Value date: 30/01/2026</t>
  </si>
  <si>
    <t>Name: PENSIOENFONDS HORECA CAT Description: Notadatum 03-01-2026 premie BR 250601791655-Notadatum 03-01-2026 premi IBAN: NL25ABNA0523407939 Reference: 6-1107013-250601791655-0 Mandate ID: BR-864981594L01-01-01 Creditor ID: NL93ZZZ411525930000 Recurrent SEPA direct debit Value date: 30/01/2026</t>
  </si>
  <si>
    <t>Name: SumUp Limited Description: M23 PID1526011 IBAN: DK6289000000019590 Date/time: 29-01-2026 15:51:26 Value date: 29/01/2026</t>
  </si>
  <si>
    <t>Card sequence no.: 001 28/01/2026 10:00 Transaction: W00641 Term: BS102666 Value date: 29/01/2026</t>
  </si>
  <si>
    <t>Tea Bar via Stichting Mollie Payments</t>
  </si>
  <si>
    <t>Name: Tea Bar via Stichting Mollie Payments Description: b5d977f42e77335529f027e8b54a7881 8152915983240873 mol?281556697b155c27e081769674076 Tea Bar IBAN: NL51DEUT0265262461 Reference: 29-01-2026 09:08 8152915983240873 Value date: 29/01/2026</t>
  </si>
  <si>
    <t>Name: SumUp Limited Description: M23 PID1524567 IBAN: DK6289000000019590 Date/time: 28-01-2026 16:00:35 Value date: 28/01/2026</t>
  </si>
  <si>
    <t>Card sequence no.: 001 27/01/2026 11:00 Transaction: P00640 Term: BS102657 Value date: 28/01/2026</t>
  </si>
  <si>
    <t>Name: Hanos Nederland Description: /REF/1100/0016077813/20802005173540 /HANOS/INV/401172056 25.1.2026 IBAN: NL45INGB0680249346 Reference: 2005173540 Mandate ID: HANOS9415 Creditor ID: NL17ZZZ090660180000 Recurrent business SEPA direct debit Value date: 28/01/2026</t>
  </si>
  <si>
    <t>Name: Disposable Discounter - Nederland via MultiSafepay Description: 1398014219 8151886283188367 Payment for order ?2262786537 Disposable Discounter - Nederland IBAN: NL17DEUT0265262879 Reference: 27-01-2026 19:54 8151886283188367 Value date: 27/01/2026</t>
  </si>
  <si>
    <t>Name: SumUp Limited Description: M23 PID1523120 IBAN: DK6289000000019590 Date/time: 27-01-2026 15:58:46 Value date: 27/01/2026</t>
  </si>
  <si>
    <t>Card sequence no.: 001 26/01/2026 10:04 Transaction: W00639 Term: BS149836 Value date: 27/01/2026</t>
  </si>
  <si>
    <t>Name: ODIDO NETHERLANDS B.V. Description: Mob 097008033512 Klantnr 1.21751116 Factuur 901619053418 Factuurdatum 19.01.2026 Factuur zien? Odido.nl/my/facturen IBAN: NL12COBA0733959555 Reference: 500638937728 Mandate ID: 1.21751116-001 Creditor ID: NL93ZZZ332656790051</t>
  </si>
  <si>
    <t>Name: SumUp Limited Description: M23 PID1521851 IBAN: DK6289000000019590 Date/time: 26-01-2026 18:01:19 Value date: 26/01/2026</t>
  </si>
  <si>
    <t>Card sequence no.: 001 25/01/2026 11:53 Transaction: W00638 Term: BS127763 Value date: 26/01/2026</t>
  </si>
  <si>
    <t>Klepierre Management Nederland B.V.</t>
  </si>
  <si>
    <t>Name: Klepierre Management Nederland B.V. Description: Factuur: 2026500134 IBAN: NL07INGB0007269947 Date/time: 26-01-2026 09:50:36 Value date: 26/01/2026</t>
  </si>
  <si>
    <t>Factuurnr. 2367676610 Betreft IBAN: NL65INGB0100914934 Periode: 01-12-2025 / 31-12-2025 Value date: 26/01/2026</t>
  </si>
  <si>
    <t>Card sequence no.: 001 24/01/2026 17:32 Transaction: C00646 Term: BS127765 Value date: 25/01/2026</t>
  </si>
  <si>
    <t>Card sequence no.: 001 24/01/2026 09:47 Transaction: C00645 Term: BS149836 Value date: 25/01/2026</t>
  </si>
  <si>
    <t>Card sequence no.: 001 23/01/2026 09:54 Transaction: D00644 Term: BS149836 Value date: 24/01/2026</t>
  </si>
  <si>
    <t>Name: SumUp Limited Description: M23 PID1517963 IBAN: DK6289000000019590 Date/time: 23-01-2026 15:37:46 Value date: 23/01/2026</t>
  </si>
  <si>
    <t>Card sequence no.: 001 22/01/2026 09:48 Transaction: P00637 Term: BS102664 Value date: 23/01/2026</t>
  </si>
  <si>
    <t>Name: SumUp Limited Description: M23 PID1516492 IBAN: DK6289000000019590 Date/time: 22-01-2026 17:09:54 Value date: 22/01/2026</t>
  </si>
  <si>
    <t>Card sequence no.: 001 21/01/2026 09:54 Transaction: P00636 Term: BS102666 Value date: 22/01/2026</t>
  </si>
  <si>
    <t>Kaya via Tikkie</t>
  </si>
  <si>
    <t>Name: Kaya via Tikkie Description: 001161541911 0031914780202854 Boodschappen NL43ASNB0782411894 IBAN: NL13ABNA0506417344 Reference: 22-01-2026 14:01 0031914780202854 Value date: 22/01/2026</t>
  </si>
  <si>
    <t>Name: SumUp Limited Description: M23 PID1515026 IBAN: DK6289000000019590 Date/time: 21-01-2026 15:58:02 Value date: 21/01/2026</t>
  </si>
  <si>
    <t>Card sequence no.: 001 20/01/2026 10:04 Transaction: C00643 Term: BS127764 Value date: 21/01/2026</t>
  </si>
  <si>
    <t>MELEDI Delft B.V. Enschede NLD</t>
  </si>
  <si>
    <t>Card sequence no.: 901 20/01/2026 13:38 Transaction: W00635 Term: 52759061 Apple Pay Value date: 21/01/2026</t>
  </si>
  <si>
    <t>Name: Hanos Nederland Description: /REF/1100/0016077813/20802005163737 /HANOS/INV/401164990 18.1.2026 IBAN: NL45INGB0680249346 Reference: 2005163737 Mandate ID: HANOS9415 Creditor ID: NL17ZZZ090660180000 Recurrent business SEPA direct debit Value date: 21/01/2026</t>
  </si>
  <si>
    <t>Name: SumUp Limited Description: M23 PID1513562 IBAN: DK6289000000019590 Date/time: 20-01-2026 16:32:44 Value date: 20/01/2026</t>
  </si>
  <si>
    <t>Card sequence no.: 001 19/01/2026 09:56 Transaction: P00634 Term: BS149836 Value date: 20/01/2026</t>
  </si>
  <si>
    <t>BCK*PRAXIS 2351 RDAM ROTTERDAM</t>
  </si>
  <si>
    <t>Card sequence no.: 001 19/01/2026 16:44 Transaction: C00642 Term: BS400339 Value date: 20/01/2026</t>
  </si>
  <si>
    <t>Name: SumUp Limited Description: M23 PID1512160 IBAN: DK6289000000019590 Date/time: 19-01-2026 16:56:45 Value date: 19/01/2026</t>
  </si>
  <si>
    <t>Card sequence no.: 001 18/01/2026 15:39 Transaction: P00633 Term: BS127764 Value date: 19/01/2026</t>
  </si>
  <si>
    <t>Card sequence no.: 001 18/01/2026 11:49 Transaction: C00641 Term: BS127765 Value date: 19/01/2026</t>
  </si>
  <si>
    <t>ID</t>
  </si>
  <si>
    <t>iDEAL</t>
  </si>
  <si>
    <t>Name: One.com Group AB Description: 7602ILP 7140416580480462 ONE.COM IBAN: DE75202208000000019190 Reference: 19-01-2026 11:50 7140416580480462 Value date: 19/01/2026</t>
  </si>
  <si>
    <t>Stichting Horeca Ontwikkel Platform ST</t>
  </si>
  <si>
    <t>NL45RABO0324628854</t>
  </si>
  <si>
    <t>Name: Stichting Horeca Ontwikkel Platform ST Description: 51439228252 IBAN: NL45RABO0324628854 Date/time: 18-01-2026 13:20:48 Value date: 18/01/2026</t>
  </si>
  <si>
    <t>Card sequence no.: 001 17/01/2026 09:58 Transaction: C00640 Term: BS102666 Value date: 18/01/2026</t>
  </si>
  <si>
    <t>Name: Stichting Horeca Ontwikkel Platform ST Description: 01439407207 IBAN: NL45RABO0324628854 Date/time: 18-01-2026 12:30:47 Value date: 18/01/2026</t>
  </si>
  <si>
    <t>Name: van Nieuwenhoven via Tikkie Description: 001159429973 0031375704394827 Ov NL25INGB0689869584 IBAN: NL13ABNA0506417344 Reference: 18-01-2026 11:47 0031375704394827 Value date: 18/01/2026</t>
  </si>
  <si>
    <t>Card sequence no.: 001 16/01/2026 09:49 Transaction: D00639 Term: BS102654 Value date: 17/01/2026</t>
  </si>
  <si>
    <t>Name: SumUp Limited Description: M23 PID1508387 IBAN: DK6289000000019590 Date/time: 16-01-2026 15:48:06 Value date: 16/01/2026</t>
  </si>
  <si>
    <t>Card sequence no.: 001 15/01/2026 09:47 Transaction: W00632 Term: BS102654 Value date: 16/01/2026</t>
  </si>
  <si>
    <t>Name: SumUp Limited Description: M23 PID1506921 IBAN: DK6289000000019590 Value date: 16/01/2026</t>
  </si>
  <si>
    <t>Costa via Tikkie</t>
  </si>
  <si>
    <t>Name: Costa via Tikkie Description: 001157946065 0031406886314760 Printing Posters NL28ABNA0104805064 IBAN: NL13ABNA0506417344 Reference: 15-01-2026 16:04 0031406886314760 Value date: 15/01/2026</t>
  </si>
  <si>
    <t>GELDMAAT GROTEMARKT 6 ROTTERDAM</t>
  </si>
  <si>
    <t>GM</t>
  </si>
  <si>
    <t>Cash machine</t>
  </si>
  <si>
    <t>Card sequence no.: 001 14/01/2026 16:00 Transaction: D00638 Term: 911941 Value date: 15/01/2026</t>
  </si>
  <si>
    <t>BCK*XENOS BINNEWEGPLN 021 NLD</t>
  </si>
  <si>
    <t>Card sequence no.: 001 14/01/2026 13:41 Transaction: P00631 Term: CT653521 Value date: 15/01/2026</t>
  </si>
  <si>
    <t>Action 1340 Rotterdam NLD</t>
  </si>
  <si>
    <t>Card sequence no.: 001 14/01/2026 13:37 Transaction: C00637 Term: 06214572 Value date: 15/01/2026</t>
  </si>
  <si>
    <t>Card sequence no.: 001 14/01/2026 09:47 Transaction: P00630 Term: BS102654 Value date: 15/01/2026</t>
  </si>
  <si>
    <t>Babycrafts 3D</t>
  </si>
  <si>
    <t>NL22INGB0109011619</t>
  </si>
  <si>
    <t>Name: Babycrafts 3D Description: Eten sligro prive IBAN: NL22INGB0109011619 Value date: 15/01/2026</t>
  </si>
  <si>
    <t>Name: SumUp Limited Description: M23 PID1505447 IBAN: DK6289000000019590 Value date: 15/01/2026</t>
  </si>
  <si>
    <t>Name: SUREBUSINESS BV Description: Kenmerk: 0001.7148.0317.4494 Omschrijving: MKB Zakenpakke prol.premie 01/26 1 mnd Yezzer Verzekeringen, SUREbusiness IBAN: NL81ABNA0497493187 Reference: 0001714803174494 Mandate ID: 806202309151521284030002 Creditor ID: NL98ZZZ642177280000</t>
  </si>
  <si>
    <t>Fleur de Cafe</t>
  </si>
  <si>
    <t>NL60RABO0138647283</t>
  </si>
  <si>
    <t>Name: Fleur de Cafe Description: F/2026/00565 IBAN: NL60RABO0138647283 Date/time: 14-01-2026 22:30:18 Value date: 14/01/2026</t>
  </si>
  <si>
    <t>Card sequence no.: 001 13/01/2026 10:24 Transaction: C00635 Term: BS149836 Value date: 14/01/2026</t>
  </si>
  <si>
    <t>Card sequence no.: 001 13/01/2026 18:17 Transaction: D00636 Term: BS127763 Value date: 14/01/2026</t>
  </si>
  <si>
    <t>Name: Hanos Nederland Description: /REF/1100/0016077813/20802005154059 /HANOS/INV/401158030 11.1.2026 IBAN: NL45INGB0680249346 Reference: 2005154059 Mandate ID: HANOS9415 Creditor ID: NL17ZZZ090660180000 Recurrent business SEPA direct debit Value date: 14/01/2026</t>
  </si>
  <si>
    <t>Brunch&amp;Brew B.V</t>
  </si>
  <si>
    <t>IE48SUMU99036512519940</t>
  </si>
  <si>
    <t>Name: Brunch&amp;Brew B.V Description: Verzonden via SumUp IBAN: IE48SUMU99036512519940 Reference: 3fce615d3a964192939dbf69ac10c83e Date/time: 13-01-2026 15:11:05 Value date: 13/01/2026</t>
  </si>
  <si>
    <t>Card sequence no.: 001 12/01/2026 09:55 Transaction: P00629 Term: BS127765 Value date: 13/01/2026</t>
  </si>
  <si>
    <t>Card sequence no.: 001 11/01/2026 11:44 Transaction: D00634 Term: BS127763 Value date: 12/01/2026</t>
  </si>
  <si>
    <t>Card sequence no.: 001 10/01/2026 09:41 Transaction: W00628 Term: BS127763 Value date: 11/01/2026</t>
  </si>
  <si>
    <t>Card sequence no.: 001 09/01/2026 10:50 Transaction: W00627 Term: BS102655 Value date: 10/01/2026</t>
  </si>
  <si>
    <t>Card sequence no.: 001 09/01/2026 09:48 Transaction: P00626 Term: BS127764 Value date: 10/01/2026</t>
  </si>
  <si>
    <t>Card sequence no.: 001 07/01/2026 09:55 Transaction: P00625 Term: BS127763 Value date: 08/01/2026</t>
  </si>
  <si>
    <t>Name: Shiftbase via Mollie Description: INV2026-6849 95253 Shiftbase IBAN: NL54DEUT7026602981 Reference: SD32-4469-7397-7574 Mandate ID: MD87-8424-0832-6925 Creditor ID: NL08ZZZ502057730000 Recurrent SEPA direct debit Other party: STICHTING MOLLIE PAYMENTS Value date: 07/01/2026</t>
  </si>
  <si>
    <t>Name: Hanos Nederland Description: /REF/1100/0016077813/20802005144915 /HANOS/INV/401152054 4.1.2026 IBAN: NL45INGB0680249346 Reference: 2005144915 Mandate ID: HANOS9415 Creditor ID: NL17ZZZ090660180000 Recurrent business SEPA direct debit Value date: 07/01/2026</t>
  </si>
  <si>
    <t>Name: ODIDO NETHERLANDS B.V. Description: Factuurnummer 901614577608 IBAN: NL12COBA0733959555 Reference: 501736620382 Mandate ID: 1.22430886 Creditor ID: NL93ZZZ332656790051 Recurrent SEPA direct debit Value date: 07/01/2026</t>
  </si>
  <si>
    <t>Card sequence no.: 001 05/01/2026 09:52 Transaction: D00633 Term: BS102654 Value date: 06/01/2026</t>
  </si>
  <si>
    <t>Name: Hanos Nederland Description: /REF/1100/0016077813/20802005141375 /HANOS/INV/401141969 28.12.2025/HANOS/INV/401147609 1.1.2026 IBAN: NL45INGB0680249346 Reference: 2005141375 Mandate ID: HANOS9415 Creditor ID: NL17ZZZ090660180000</t>
  </si>
  <si>
    <t>South American Food Express 2 B.V.</t>
  </si>
  <si>
    <t>NL35RABO0117713678</t>
  </si>
  <si>
    <t>Name: South American Food Express 2 B.V. Description: 52918071020X2354 7370665707853161 Online betaling, order: 6000194 IBAN: NL35RABO0117713678 Reference: 06-01-2026 00:05 7370665707853161 Value date: 06/01/2026</t>
  </si>
  <si>
    <t>PAYPAL PTE. LTD.</t>
  </si>
  <si>
    <t>DE26512202000071418016</t>
  </si>
  <si>
    <t>Name: PAYPAL PTE. LTD. Description: Deliriro t.h.o.d.n IBAN: DE26512202000071418016 Reference: 255449208 Value date: 05/01/2026</t>
  </si>
  <si>
    <t>Card sequence no.: 001 04/01/2026 11:52 Transaction: D00632 Term: BS127764 Value date: 05/01/2026</t>
  </si>
  <si>
    <t>Card sequence no.: 001 03/01/2026 09:44 Transaction: P00624 Term: BS127764 Value date: 04/01/2026</t>
  </si>
  <si>
    <t>Card sequence no.: 001 03/01/2026 09:56 Transaction: D00631 Term: BS127764 Value date: 04/01/2026</t>
  </si>
  <si>
    <t>Name: PAYPAL PTE. LTD. Description: Deliriro t.h.o.d.n IBAN: DE26512202000071418016 Reference: 255381136 Value date: 02/01/2026</t>
  </si>
  <si>
    <t>Albert Heijn 1670 ROTTERDAM NLD</t>
  </si>
  <si>
    <t>Card sequence no.: 901 31/12/2025 16:01 Transaction: W00623 Term: BS102651 Apple Pay Value date: 01/01/2026</t>
  </si>
  <si>
    <t>BTW 21%</t>
  </si>
  <si>
    <t>BTW 9%</t>
  </si>
  <si>
    <t>Datum</t>
  </si>
  <si>
    <t xml:space="preserve">Waar </t>
  </si>
  <si>
    <t xml:space="preserve">Bedrag </t>
  </si>
  <si>
    <t>Meledi</t>
  </si>
  <si>
    <t>Inkomsten Q4</t>
  </si>
  <si>
    <t>Incl BTW</t>
  </si>
  <si>
    <t>BTW te betalen</t>
  </si>
  <si>
    <t>BTW te ontvangen</t>
  </si>
  <si>
    <t>Toeslag</t>
  </si>
  <si>
    <t>blikjes</t>
  </si>
  <si>
    <t>Contant</t>
  </si>
  <si>
    <t>Verschil</t>
  </si>
  <si>
    <t>Statiegeld</t>
  </si>
  <si>
    <t>Totaal in</t>
  </si>
  <si>
    <t>BTW</t>
  </si>
  <si>
    <t>Uitgaven</t>
  </si>
  <si>
    <t>Netto</t>
  </si>
  <si>
    <t>Salarissen</t>
  </si>
  <si>
    <t>Pensioen</t>
  </si>
  <si>
    <t>Loonbelasting</t>
  </si>
  <si>
    <t>in netto</t>
  </si>
  <si>
    <t>Bankkosten</t>
  </si>
  <si>
    <t>Uit</t>
  </si>
  <si>
    <t>Verzekering</t>
  </si>
  <si>
    <t>Winst</t>
  </si>
  <si>
    <t>SumUp</t>
  </si>
  <si>
    <t>INCL MP5 DGA Q1 2026</t>
  </si>
  <si>
    <t>Dit blad</t>
  </si>
  <si>
    <t>MP5</t>
  </si>
  <si>
    <t>MP5 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</si>
</sst>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EE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9" fontId="0" fillId="0" borderId="0" xfId="0" applyNumberFormat="1"/>
    <xf numFmtId="14" fontId="0" fillId="0" borderId="0" xfId="0" applyNumberFormat="1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CF16-5FF8-40A5-9ACC-36DAEFE1E602}">
  <dimension ref="A1:L290"/>
  <sheetViews>
    <sheetView tabSelected="1" workbookViewId="0">
      <selection activeCell="I1" sqref="I1"/>
    </sheetView>
  </sheetViews>
  <sheetFormatPr defaultRowHeight="14.4" x14ac:dyDescent="0.3"/>
  <cols>
    <col min="2" max="2" width="28.77734375" customWidth="1"/>
    <col min="5" max="5" width="1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383</v>
      </c>
      <c r="I1" t="s">
        <v>384</v>
      </c>
      <c r="J1" t="s">
        <v>7</v>
      </c>
      <c r="K1" t="s">
        <v>8</v>
      </c>
      <c r="L1" t="s">
        <v>9</v>
      </c>
    </row>
    <row r="2" spans="1:12" x14ac:dyDescent="0.3">
      <c r="A2">
        <v>20260331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100</v>
      </c>
      <c r="H2" s="1">
        <f>G2/121*21</f>
        <v>17.355371900826448</v>
      </c>
      <c r="J2" t="s">
        <v>15</v>
      </c>
      <c r="K2" t="s">
        <v>16</v>
      </c>
    </row>
    <row r="3" spans="1:12" x14ac:dyDescent="0.3">
      <c r="A3">
        <v>20260331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>
        <v>913.76</v>
      </c>
      <c r="J3" t="s">
        <v>21</v>
      </c>
      <c r="K3" t="s">
        <v>22</v>
      </c>
    </row>
    <row r="4" spans="1:12" x14ac:dyDescent="0.3">
      <c r="A4">
        <v>20260331</v>
      </c>
      <c r="B4" t="s">
        <v>23</v>
      </c>
      <c r="C4" t="s">
        <v>11</v>
      </c>
      <c r="E4" t="s">
        <v>24</v>
      </c>
      <c r="F4" t="s">
        <v>14</v>
      </c>
      <c r="G4">
        <v>34.75</v>
      </c>
      <c r="I4" s="1">
        <f>G4/109*9</f>
        <v>2.8692660550458715</v>
      </c>
      <c r="J4" t="s">
        <v>25</v>
      </c>
      <c r="K4" t="s">
        <v>26</v>
      </c>
    </row>
    <row r="5" spans="1:12" x14ac:dyDescent="0.3">
      <c r="A5">
        <v>20260331</v>
      </c>
      <c r="B5" t="s">
        <v>23</v>
      </c>
      <c r="C5" t="s">
        <v>11</v>
      </c>
      <c r="E5" t="s">
        <v>24</v>
      </c>
      <c r="F5" t="s">
        <v>14</v>
      </c>
      <c r="G5">
        <v>22.98</v>
      </c>
      <c r="I5" s="1">
        <f>G5/109*9</f>
        <v>1.8974311926605505</v>
      </c>
      <c r="J5" t="s">
        <v>25</v>
      </c>
      <c r="K5" t="s">
        <v>27</v>
      </c>
    </row>
    <row r="6" spans="1:12" x14ac:dyDescent="0.3">
      <c r="A6">
        <v>20260331</v>
      </c>
      <c r="B6" t="s">
        <v>28</v>
      </c>
      <c r="C6" t="s">
        <v>11</v>
      </c>
      <c r="D6" t="s">
        <v>29</v>
      </c>
      <c r="E6" t="s">
        <v>30</v>
      </c>
      <c r="F6" t="s">
        <v>14</v>
      </c>
      <c r="G6">
        <v>491.53</v>
      </c>
      <c r="J6" t="s">
        <v>31</v>
      </c>
      <c r="K6" t="s">
        <v>32</v>
      </c>
    </row>
    <row r="7" spans="1:12" x14ac:dyDescent="0.3">
      <c r="A7">
        <v>20260331</v>
      </c>
      <c r="B7" t="s">
        <v>28</v>
      </c>
      <c r="C7" t="s">
        <v>11</v>
      </c>
      <c r="D7" t="s">
        <v>29</v>
      </c>
      <c r="E7" t="s">
        <v>30</v>
      </c>
      <c r="F7" t="s">
        <v>14</v>
      </c>
      <c r="G7">
        <v>477.72</v>
      </c>
      <c r="J7" t="s">
        <v>31</v>
      </c>
      <c r="K7" t="s">
        <v>33</v>
      </c>
    </row>
    <row r="8" spans="1:12" x14ac:dyDescent="0.3">
      <c r="A8">
        <v>20260330</v>
      </c>
      <c r="B8" t="s">
        <v>17</v>
      </c>
      <c r="C8" t="s">
        <v>11</v>
      </c>
      <c r="D8" t="s">
        <v>18</v>
      </c>
      <c r="E8" t="s">
        <v>19</v>
      </c>
      <c r="F8" t="s">
        <v>20</v>
      </c>
      <c r="G8">
        <v>3235.84</v>
      </c>
      <c r="J8" t="s">
        <v>21</v>
      </c>
      <c r="K8" t="s">
        <v>34</v>
      </c>
    </row>
    <row r="9" spans="1:12" x14ac:dyDescent="0.3">
      <c r="A9">
        <v>20260330</v>
      </c>
      <c r="B9" t="s">
        <v>23</v>
      </c>
      <c r="C9" t="s">
        <v>11</v>
      </c>
      <c r="E9" t="s">
        <v>24</v>
      </c>
      <c r="F9" t="s">
        <v>14</v>
      </c>
      <c r="G9">
        <v>51.65</v>
      </c>
      <c r="I9" s="1">
        <f t="shared" ref="I9:I13" si="0">G9/109*9</f>
        <v>4.2646788990825693</v>
      </c>
      <c r="J9" t="s">
        <v>25</v>
      </c>
      <c r="K9" t="s">
        <v>35</v>
      </c>
    </row>
    <row r="10" spans="1:12" x14ac:dyDescent="0.3">
      <c r="A10">
        <v>20260330</v>
      </c>
      <c r="B10" t="s">
        <v>23</v>
      </c>
      <c r="C10" t="s">
        <v>11</v>
      </c>
      <c r="E10" t="s">
        <v>24</v>
      </c>
      <c r="F10" t="s">
        <v>14</v>
      </c>
      <c r="G10">
        <v>8.4700000000000006</v>
      </c>
      <c r="I10" s="1">
        <f t="shared" si="0"/>
        <v>0.69935779816513766</v>
      </c>
      <c r="J10" t="s">
        <v>25</v>
      </c>
      <c r="K10" t="s">
        <v>36</v>
      </c>
    </row>
    <row r="11" spans="1:12" x14ac:dyDescent="0.3">
      <c r="A11">
        <v>20260329</v>
      </c>
      <c r="B11" t="s">
        <v>23</v>
      </c>
      <c r="C11" t="s">
        <v>11</v>
      </c>
      <c r="E11" t="s">
        <v>24</v>
      </c>
      <c r="F11" t="s">
        <v>14</v>
      </c>
      <c r="G11">
        <v>51.67</v>
      </c>
      <c r="I11" s="1">
        <f t="shared" si="0"/>
        <v>4.2663302752293575</v>
      </c>
      <c r="J11" t="s">
        <v>25</v>
      </c>
      <c r="K11" t="s">
        <v>37</v>
      </c>
    </row>
    <row r="12" spans="1:12" x14ac:dyDescent="0.3">
      <c r="A12">
        <v>20260329</v>
      </c>
      <c r="B12" t="s">
        <v>23</v>
      </c>
      <c r="C12" t="s">
        <v>11</v>
      </c>
      <c r="E12" t="s">
        <v>24</v>
      </c>
      <c r="F12" t="s">
        <v>14</v>
      </c>
      <c r="G12">
        <v>3.58</v>
      </c>
      <c r="I12" s="1">
        <f t="shared" si="0"/>
        <v>0.29559633027522936</v>
      </c>
      <c r="J12" t="s">
        <v>25</v>
      </c>
      <c r="K12" t="s">
        <v>38</v>
      </c>
    </row>
    <row r="13" spans="1:12" x14ac:dyDescent="0.3">
      <c r="A13">
        <v>20260328</v>
      </c>
      <c r="B13" t="s">
        <v>23</v>
      </c>
      <c r="C13" t="s">
        <v>11</v>
      </c>
      <c r="E13" t="s">
        <v>24</v>
      </c>
      <c r="F13" t="s">
        <v>14</v>
      </c>
      <c r="G13">
        <v>31.9</v>
      </c>
      <c r="I13" s="1">
        <f t="shared" si="0"/>
        <v>2.6339449541284403</v>
      </c>
      <c r="J13" t="s">
        <v>25</v>
      </c>
      <c r="K13" t="s">
        <v>39</v>
      </c>
    </row>
    <row r="14" spans="1:12" x14ac:dyDescent="0.3">
      <c r="A14">
        <v>20260327</v>
      </c>
      <c r="B14" t="s">
        <v>17</v>
      </c>
      <c r="C14" t="s">
        <v>11</v>
      </c>
      <c r="D14" t="s">
        <v>18</v>
      </c>
      <c r="E14" t="s">
        <v>19</v>
      </c>
      <c r="F14" t="s">
        <v>20</v>
      </c>
      <c r="G14">
        <v>875.28</v>
      </c>
      <c r="J14" t="s">
        <v>21</v>
      </c>
      <c r="K14" t="s">
        <v>40</v>
      </c>
    </row>
    <row r="15" spans="1:12" x14ac:dyDescent="0.3">
      <c r="A15">
        <v>20260327</v>
      </c>
      <c r="B15" t="s">
        <v>23</v>
      </c>
      <c r="C15" t="s">
        <v>11</v>
      </c>
      <c r="E15" t="s">
        <v>24</v>
      </c>
      <c r="F15" t="s">
        <v>14</v>
      </c>
      <c r="G15">
        <v>28.22</v>
      </c>
      <c r="I15" s="1">
        <f t="shared" ref="I15:I16" si="1">G15/109*9</f>
        <v>2.330091743119266</v>
      </c>
      <c r="J15" t="s">
        <v>25</v>
      </c>
      <c r="K15" t="s">
        <v>41</v>
      </c>
    </row>
    <row r="16" spans="1:12" x14ac:dyDescent="0.3">
      <c r="A16">
        <v>20260327</v>
      </c>
      <c r="B16" t="s">
        <v>23</v>
      </c>
      <c r="C16" t="s">
        <v>11</v>
      </c>
      <c r="E16" t="s">
        <v>24</v>
      </c>
      <c r="F16" t="s">
        <v>14</v>
      </c>
      <c r="G16">
        <v>2.74</v>
      </c>
      <c r="I16" s="1">
        <f t="shared" si="1"/>
        <v>0.22623853211009176</v>
      </c>
      <c r="J16" t="s">
        <v>25</v>
      </c>
      <c r="K16" t="s">
        <v>42</v>
      </c>
    </row>
    <row r="17" spans="1:11" x14ac:dyDescent="0.3">
      <c r="A17">
        <v>20260327</v>
      </c>
      <c r="B17" t="s">
        <v>43</v>
      </c>
      <c r="C17" t="s">
        <v>11</v>
      </c>
      <c r="E17" t="s">
        <v>44</v>
      </c>
      <c r="F17" t="s">
        <v>14</v>
      </c>
      <c r="G17">
        <v>57.1</v>
      </c>
      <c r="J17" t="s">
        <v>45</v>
      </c>
      <c r="K17" t="s">
        <v>46</v>
      </c>
    </row>
    <row r="18" spans="1:11" x14ac:dyDescent="0.3">
      <c r="A18">
        <v>20260326</v>
      </c>
      <c r="B18" t="s">
        <v>17</v>
      </c>
      <c r="C18" t="s">
        <v>11</v>
      </c>
      <c r="D18" t="s">
        <v>18</v>
      </c>
      <c r="E18" t="s">
        <v>19</v>
      </c>
      <c r="F18" t="s">
        <v>20</v>
      </c>
      <c r="G18">
        <v>690.39</v>
      </c>
      <c r="J18" t="s">
        <v>21</v>
      </c>
      <c r="K18" t="s">
        <v>47</v>
      </c>
    </row>
    <row r="19" spans="1:11" x14ac:dyDescent="0.3">
      <c r="A19">
        <v>20260326</v>
      </c>
      <c r="B19" t="s">
        <v>48</v>
      </c>
      <c r="C19" t="s">
        <v>11</v>
      </c>
      <c r="D19" t="s">
        <v>49</v>
      </c>
      <c r="E19" t="s">
        <v>13</v>
      </c>
      <c r="F19" t="s">
        <v>14</v>
      </c>
      <c r="G19">
        <v>38.29</v>
      </c>
      <c r="H19" s="1">
        <f>G19/121*21</f>
        <v>6.6453719008264462</v>
      </c>
      <c r="J19" t="s">
        <v>15</v>
      </c>
      <c r="K19" t="s">
        <v>50</v>
      </c>
    </row>
    <row r="20" spans="1:11" x14ac:dyDescent="0.3">
      <c r="A20">
        <v>20260326</v>
      </c>
      <c r="B20" t="s">
        <v>23</v>
      </c>
      <c r="C20" t="s">
        <v>11</v>
      </c>
      <c r="E20" t="s">
        <v>24</v>
      </c>
      <c r="F20" t="s">
        <v>14</v>
      </c>
      <c r="G20">
        <v>27.72</v>
      </c>
      <c r="I20" s="1">
        <f>G20/109*9</f>
        <v>2.2888073394495412</v>
      </c>
      <c r="J20" t="s">
        <v>25</v>
      </c>
      <c r="K20" t="s">
        <v>51</v>
      </c>
    </row>
    <row r="21" spans="1:11" x14ac:dyDescent="0.3">
      <c r="A21">
        <v>20260326</v>
      </c>
      <c r="B21" t="s">
        <v>52</v>
      </c>
      <c r="C21" t="s">
        <v>11</v>
      </c>
      <c r="D21" t="s">
        <v>53</v>
      </c>
      <c r="E21" t="s">
        <v>30</v>
      </c>
      <c r="F21" t="s">
        <v>14</v>
      </c>
      <c r="G21">
        <v>54.7</v>
      </c>
      <c r="H21" s="1">
        <f>G21/121*21</f>
        <v>9.4933884297520663</v>
      </c>
      <c r="J21" t="s">
        <v>31</v>
      </c>
      <c r="K21" t="s">
        <v>54</v>
      </c>
    </row>
    <row r="22" spans="1:11" x14ac:dyDescent="0.3">
      <c r="A22">
        <v>20260325</v>
      </c>
      <c r="B22" t="s">
        <v>17</v>
      </c>
      <c r="C22" t="s">
        <v>11</v>
      </c>
      <c r="D22" t="s">
        <v>18</v>
      </c>
      <c r="E22" t="s">
        <v>19</v>
      </c>
      <c r="F22" t="s">
        <v>20</v>
      </c>
      <c r="G22">
        <v>845.8</v>
      </c>
      <c r="J22" t="s">
        <v>21</v>
      </c>
      <c r="K22" t="s">
        <v>55</v>
      </c>
    </row>
    <row r="23" spans="1:11" x14ac:dyDescent="0.3">
      <c r="A23">
        <v>20260325</v>
      </c>
      <c r="B23" t="s">
        <v>23</v>
      </c>
      <c r="C23" t="s">
        <v>11</v>
      </c>
      <c r="E23" t="s">
        <v>24</v>
      </c>
      <c r="F23" t="s">
        <v>14</v>
      </c>
      <c r="G23">
        <v>27.94</v>
      </c>
      <c r="I23" s="1">
        <f t="shared" ref="I23:I24" si="2">G23/109*9</f>
        <v>2.3069724770642202</v>
      </c>
      <c r="J23" t="s">
        <v>25</v>
      </c>
      <c r="K23" t="s">
        <v>56</v>
      </c>
    </row>
    <row r="24" spans="1:11" x14ac:dyDescent="0.3">
      <c r="A24">
        <v>20260325</v>
      </c>
      <c r="B24" t="s">
        <v>23</v>
      </c>
      <c r="C24" t="s">
        <v>11</v>
      </c>
      <c r="E24" t="s">
        <v>24</v>
      </c>
      <c r="F24" t="s">
        <v>14</v>
      </c>
      <c r="G24">
        <v>2.97</v>
      </c>
      <c r="I24" s="1">
        <f t="shared" si="2"/>
        <v>0.24522935779816515</v>
      </c>
      <c r="J24" t="s">
        <v>25</v>
      </c>
      <c r="K24" t="s">
        <v>57</v>
      </c>
    </row>
    <row r="25" spans="1:11" x14ac:dyDescent="0.3">
      <c r="A25">
        <v>20260325</v>
      </c>
      <c r="B25" t="s">
        <v>58</v>
      </c>
      <c r="C25" t="s">
        <v>11</v>
      </c>
      <c r="D25" t="s">
        <v>59</v>
      </c>
      <c r="E25" t="s">
        <v>30</v>
      </c>
      <c r="F25" t="s">
        <v>14</v>
      </c>
      <c r="G25">
        <v>1253.92</v>
      </c>
      <c r="H25">
        <v>23.75</v>
      </c>
      <c r="I25">
        <v>91.86</v>
      </c>
      <c r="J25" t="s">
        <v>31</v>
      </c>
      <c r="K25" t="s">
        <v>60</v>
      </c>
    </row>
    <row r="26" spans="1:11" x14ac:dyDescent="0.3">
      <c r="A26">
        <v>20260324</v>
      </c>
      <c r="B26" t="s">
        <v>17</v>
      </c>
      <c r="C26" t="s">
        <v>11</v>
      </c>
      <c r="D26" t="s">
        <v>18</v>
      </c>
      <c r="E26" t="s">
        <v>19</v>
      </c>
      <c r="F26" t="s">
        <v>20</v>
      </c>
      <c r="G26">
        <v>672.36</v>
      </c>
      <c r="J26" t="s">
        <v>21</v>
      </c>
      <c r="K26" t="s">
        <v>61</v>
      </c>
    </row>
    <row r="27" spans="1:11" x14ac:dyDescent="0.3">
      <c r="A27">
        <v>20260324</v>
      </c>
      <c r="B27" t="s">
        <v>23</v>
      </c>
      <c r="C27" t="s">
        <v>11</v>
      </c>
      <c r="E27" t="s">
        <v>24</v>
      </c>
      <c r="F27" t="s">
        <v>14</v>
      </c>
      <c r="G27">
        <v>25.98</v>
      </c>
      <c r="I27" s="1">
        <f>G27/109*9</f>
        <v>2.145137614678899</v>
      </c>
      <c r="J27" t="s">
        <v>25</v>
      </c>
      <c r="K27" t="s">
        <v>62</v>
      </c>
    </row>
    <row r="28" spans="1:11" x14ac:dyDescent="0.3">
      <c r="A28">
        <v>20260324</v>
      </c>
      <c r="B28" t="s">
        <v>63</v>
      </c>
      <c r="C28" t="s">
        <v>11</v>
      </c>
      <c r="D28" t="s">
        <v>64</v>
      </c>
      <c r="E28" t="s">
        <v>65</v>
      </c>
      <c r="F28" t="s">
        <v>14</v>
      </c>
      <c r="G28">
        <v>4986.79</v>
      </c>
      <c r="H28" s="1">
        <f>G28/121*21</f>
        <v>865.47595041322313</v>
      </c>
      <c r="J28" t="s">
        <v>66</v>
      </c>
      <c r="K28" t="s">
        <v>67</v>
      </c>
    </row>
    <row r="29" spans="1:11" x14ac:dyDescent="0.3">
      <c r="A29">
        <v>20260323</v>
      </c>
      <c r="B29" t="s">
        <v>17</v>
      </c>
      <c r="C29" t="s">
        <v>11</v>
      </c>
      <c r="D29" t="s">
        <v>18</v>
      </c>
      <c r="E29" t="s">
        <v>19</v>
      </c>
      <c r="F29" t="s">
        <v>20</v>
      </c>
      <c r="G29">
        <v>3043.41</v>
      </c>
      <c r="J29" t="s">
        <v>21</v>
      </c>
      <c r="K29" t="s">
        <v>68</v>
      </c>
    </row>
    <row r="30" spans="1:11" x14ac:dyDescent="0.3">
      <c r="A30">
        <v>20260323</v>
      </c>
      <c r="B30" t="s">
        <v>23</v>
      </c>
      <c r="C30" t="s">
        <v>11</v>
      </c>
      <c r="E30" t="s">
        <v>24</v>
      </c>
      <c r="F30" t="s">
        <v>14</v>
      </c>
      <c r="G30">
        <v>50.5</v>
      </c>
      <c r="I30" s="1">
        <f t="shared" ref="I30:I32" si="3">G30/109*9</f>
        <v>4.169724770642202</v>
      </c>
      <c r="J30" t="s">
        <v>25</v>
      </c>
      <c r="K30" t="s">
        <v>69</v>
      </c>
    </row>
    <row r="31" spans="1:11" x14ac:dyDescent="0.3">
      <c r="A31">
        <v>20260322</v>
      </c>
      <c r="B31" t="s">
        <v>23</v>
      </c>
      <c r="C31" t="s">
        <v>11</v>
      </c>
      <c r="E31" t="s">
        <v>24</v>
      </c>
      <c r="F31" t="s">
        <v>14</v>
      </c>
      <c r="G31">
        <v>55.12</v>
      </c>
      <c r="I31" s="1">
        <f t="shared" si="3"/>
        <v>4.5511926605504582</v>
      </c>
      <c r="J31" t="s">
        <v>25</v>
      </c>
      <c r="K31" t="s">
        <v>70</v>
      </c>
    </row>
    <row r="32" spans="1:11" x14ac:dyDescent="0.3">
      <c r="A32">
        <v>20260321</v>
      </c>
      <c r="B32" t="s">
        <v>23</v>
      </c>
      <c r="C32" t="s">
        <v>11</v>
      </c>
      <c r="E32" t="s">
        <v>24</v>
      </c>
      <c r="F32" t="s">
        <v>14</v>
      </c>
      <c r="G32">
        <v>37.950000000000003</v>
      </c>
      <c r="I32" s="1">
        <f t="shared" si="3"/>
        <v>3.1334862385321105</v>
      </c>
      <c r="J32" t="s">
        <v>25</v>
      </c>
      <c r="K32" t="s">
        <v>71</v>
      </c>
    </row>
    <row r="33" spans="1:11" x14ac:dyDescent="0.3">
      <c r="A33">
        <v>20260320</v>
      </c>
      <c r="B33" t="s">
        <v>17</v>
      </c>
      <c r="C33" t="s">
        <v>11</v>
      </c>
      <c r="D33" t="s">
        <v>18</v>
      </c>
      <c r="E33" t="s">
        <v>19</v>
      </c>
      <c r="F33" t="s">
        <v>20</v>
      </c>
      <c r="G33">
        <v>597.59</v>
      </c>
      <c r="J33" t="s">
        <v>21</v>
      </c>
      <c r="K33" t="s">
        <v>72</v>
      </c>
    </row>
    <row r="34" spans="1:11" x14ac:dyDescent="0.3">
      <c r="A34">
        <v>20260320</v>
      </c>
      <c r="B34" t="s">
        <v>23</v>
      </c>
      <c r="C34" t="s">
        <v>11</v>
      </c>
      <c r="E34" t="s">
        <v>24</v>
      </c>
      <c r="F34" t="s">
        <v>14</v>
      </c>
      <c r="G34">
        <v>25.72</v>
      </c>
      <c r="I34" s="1">
        <f>G34/109*9</f>
        <v>2.1236697247706422</v>
      </c>
      <c r="J34" t="s">
        <v>25</v>
      </c>
      <c r="K34" t="s">
        <v>73</v>
      </c>
    </row>
    <row r="35" spans="1:11" x14ac:dyDescent="0.3">
      <c r="A35">
        <v>20260319</v>
      </c>
      <c r="B35" t="s">
        <v>17</v>
      </c>
      <c r="C35" t="s">
        <v>11</v>
      </c>
      <c r="D35" t="s">
        <v>18</v>
      </c>
      <c r="E35" t="s">
        <v>19</v>
      </c>
      <c r="F35" t="s">
        <v>20</v>
      </c>
      <c r="G35">
        <v>535.34</v>
      </c>
      <c r="J35" t="s">
        <v>21</v>
      </c>
      <c r="K35" t="s">
        <v>74</v>
      </c>
    </row>
    <row r="36" spans="1:11" x14ac:dyDescent="0.3">
      <c r="A36">
        <v>20260319</v>
      </c>
      <c r="B36" t="s">
        <v>23</v>
      </c>
      <c r="C36" t="s">
        <v>11</v>
      </c>
      <c r="E36" t="s">
        <v>24</v>
      </c>
      <c r="F36" t="s">
        <v>14</v>
      </c>
      <c r="G36">
        <v>11.97</v>
      </c>
      <c r="I36" s="1">
        <f>G36/109*9</f>
        <v>0.98834862385321109</v>
      </c>
      <c r="J36" t="s">
        <v>25</v>
      </c>
      <c r="K36" t="s">
        <v>75</v>
      </c>
    </row>
    <row r="37" spans="1:11" x14ac:dyDescent="0.3">
      <c r="A37">
        <v>20260318</v>
      </c>
      <c r="B37" t="s">
        <v>17</v>
      </c>
      <c r="C37" t="s">
        <v>11</v>
      </c>
      <c r="D37" t="s">
        <v>18</v>
      </c>
      <c r="E37" t="s">
        <v>19</v>
      </c>
      <c r="F37" t="s">
        <v>20</v>
      </c>
      <c r="G37">
        <v>559.4</v>
      </c>
      <c r="J37" t="s">
        <v>21</v>
      </c>
      <c r="K37" t="s">
        <v>76</v>
      </c>
    </row>
    <row r="38" spans="1:11" x14ac:dyDescent="0.3">
      <c r="A38">
        <v>20260318</v>
      </c>
      <c r="B38" t="s">
        <v>23</v>
      </c>
      <c r="C38" t="s">
        <v>11</v>
      </c>
      <c r="E38" t="s">
        <v>24</v>
      </c>
      <c r="F38" t="s">
        <v>14</v>
      </c>
      <c r="G38">
        <v>5.52</v>
      </c>
      <c r="I38" s="1">
        <f>G38/109*9</f>
        <v>0.45577981651376143</v>
      </c>
      <c r="J38" t="s">
        <v>25</v>
      </c>
      <c r="K38" t="s">
        <v>77</v>
      </c>
    </row>
    <row r="39" spans="1:11" x14ac:dyDescent="0.3">
      <c r="A39">
        <v>20260318</v>
      </c>
      <c r="B39" t="s">
        <v>58</v>
      </c>
      <c r="C39" t="s">
        <v>11</v>
      </c>
      <c r="D39" t="s">
        <v>59</v>
      </c>
      <c r="E39" t="s">
        <v>30</v>
      </c>
      <c r="F39" t="s">
        <v>14</v>
      </c>
      <c r="G39">
        <v>780.28</v>
      </c>
      <c r="H39">
        <v>14.07</v>
      </c>
      <c r="I39">
        <v>58.63</v>
      </c>
      <c r="J39" t="s">
        <v>31</v>
      </c>
      <c r="K39" t="s">
        <v>78</v>
      </c>
    </row>
    <row r="40" spans="1:11" x14ac:dyDescent="0.3">
      <c r="A40">
        <v>20260317</v>
      </c>
      <c r="B40" t="s">
        <v>17</v>
      </c>
      <c r="C40" t="s">
        <v>11</v>
      </c>
      <c r="D40" t="s">
        <v>18</v>
      </c>
      <c r="E40" t="s">
        <v>19</v>
      </c>
      <c r="F40" t="s">
        <v>20</v>
      </c>
      <c r="G40">
        <v>690.98</v>
      </c>
      <c r="J40" t="s">
        <v>21</v>
      </c>
      <c r="K40" t="s">
        <v>79</v>
      </c>
    </row>
    <row r="41" spans="1:11" x14ac:dyDescent="0.3">
      <c r="A41">
        <v>20260317</v>
      </c>
      <c r="B41" t="s">
        <v>23</v>
      </c>
      <c r="C41" t="s">
        <v>11</v>
      </c>
      <c r="E41" t="s">
        <v>24</v>
      </c>
      <c r="F41" t="s">
        <v>14</v>
      </c>
      <c r="G41">
        <v>66.7</v>
      </c>
      <c r="I41" s="1">
        <f t="shared" ref="I41:I42" si="4">G41/109*9</f>
        <v>5.5073394495412851</v>
      </c>
      <c r="J41" t="s">
        <v>25</v>
      </c>
      <c r="K41" t="s">
        <v>80</v>
      </c>
    </row>
    <row r="42" spans="1:11" x14ac:dyDescent="0.3">
      <c r="A42">
        <v>20260317</v>
      </c>
      <c r="B42" t="s">
        <v>23</v>
      </c>
      <c r="C42" t="s">
        <v>11</v>
      </c>
      <c r="E42" t="s">
        <v>24</v>
      </c>
      <c r="F42" t="s">
        <v>14</v>
      </c>
      <c r="G42">
        <v>15.56</v>
      </c>
      <c r="I42" s="1">
        <f t="shared" si="4"/>
        <v>1.284770642201835</v>
      </c>
      <c r="J42" t="s">
        <v>25</v>
      </c>
      <c r="K42" t="s">
        <v>81</v>
      </c>
    </row>
    <row r="43" spans="1:11" x14ac:dyDescent="0.3">
      <c r="A43">
        <v>20260316</v>
      </c>
      <c r="B43" t="s">
        <v>17</v>
      </c>
      <c r="C43" t="s">
        <v>11</v>
      </c>
      <c r="D43" t="s">
        <v>18</v>
      </c>
      <c r="E43" t="s">
        <v>19</v>
      </c>
      <c r="F43" t="s">
        <v>20</v>
      </c>
      <c r="G43">
        <v>2711.87</v>
      </c>
      <c r="J43" t="s">
        <v>21</v>
      </c>
      <c r="K43" t="s">
        <v>82</v>
      </c>
    </row>
    <row r="44" spans="1:11" x14ac:dyDescent="0.3">
      <c r="A44">
        <v>20260316</v>
      </c>
      <c r="B44" t="s">
        <v>83</v>
      </c>
      <c r="C44" t="s">
        <v>11</v>
      </c>
      <c r="D44" t="s">
        <v>84</v>
      </c>
      <c r="E44" t="s">
        <v>13</v>
      </c>
      <c r="F44" t="s">
        <v>14</v>
      </c>
      <c r="G44">
        <v>1124.18</v>
      </c>
      <c r="H44" s="1">
        <f>G44/121*21</f>
        <v>195.10561983471075</v>
      </c>
      <c r="J44" t="s">
        <v>15</v>
      </c>
      <c r="K44" t="s">
        <v>85</v>
      </c>
    </row>
    <row r="45" spans="1:11" x14ac:dyDescent="0.3">
      <c r="A45">
        <v>20260316</v>
      </c>
      <c r="B45" t="s">
        <v>23</v>
      </c>
      <c r="C45" t="s">
        <v>11</v>
      </c>
      <c r="E45" t="s">
        <v>24</v>
      </c>
      <c r="F45" t="s">
        <v>14</v>
      </c>
      <c r="G45">
        <v>25.65</v>
      </c>
      <c r="I45" s="1">
        <f t="shared" ref="I45:I46" si="5">G45/109*9</f>
        <v>2.1178899082568807</v>
      </c>
      <c r="J45" t="s">
        <v>25</v>
      </c>
      <c r="K45" t="s">
        <v>86</v>
      </c>
    </row>
    <row r="46" spans="1:11" x14ac:dyDescent="0.3">
      <c r="A46">
        <v>20260316</v>
      </c>
      <c r="B46" t="s">
        <v>23</v>
      </c>
      <c r="C46" t="s">
        <v>11</v>
      </c>
      <c r="E46" t="s">
        <v>24</v>
      </c>
      <c r="F46" t="s">
        <v>14</v>
      </c>
      <c r="G46">
        <v>4.92</v>
      </c>
      <c r="I46" s="1">
        <f t="shared" si="5"/>
        <v>0.40623853211009175</v>
      </c>
      <c r="J46" t="s">
        <v>25</v>
      </c>
      <c r="K46" t="s">
        <v>87</v>
      </c>
    </row>
    <row r="47" spans="1:11" x14ac:dyDescent="0.3">
      <c r="A47">
        <v>20260316</v>
      </c>
      <c r="B47" t="s">
        <v>88</v>
      </c>
      <c r="C47" t="s">
        <v>11</v>
      </c>
      <c r="D47" t="s">
        <v>89</v>
      </c>
      <c r="E47" t="s">
        <v>30</v>
      </c>
      <c r="F47" t="s">
        <v>14</v>
      </c>
      <c r="G47">
        <v>22.55</v>
      </c>
      <c r="J47" t="s">
        <v>31</v>
      </c>
      <c r="K47" t="s">
        <v>90</v>
      </c>
    </row>
    <row r="48" spans="1:11" x14ac:dyDescent="0.3">
      <c r="A48">
        <v>20260315</v>
      </c>
      <c r="B48" t="s">
        <v>23</v>
      </c>
      <c r="C48" t="s">
        <v>11</v>
      </c>
      <c r="E48" t="s">
        <v>24</v>
      </c>
      <c r="F48" t="s">
        <v>14</v>
      </c>
      <c r="G48">
        <v>16.350000000000001</v>
      </c>
      <c r="I48" s="1">
        <f t="shared" ref="I48:I49" si="6">G48/109*9</f>
        <v>1.35</v>
      </c>
      <c r="J48" t="s">
        <v>25</v>
      </c>
      <c r="K48" t="s">
        <v>91</v>
      </c>
    </row>
    <row r="49" spans="1:11" x14ac:dyDescent="0.3">
      <c r="A49">
        <v>20260315</v>
      </c>
      <c r="B49" t="s">
        <v>23</v>
      </c>
      <c r="C49" t="s">
        <v>11</v>
      </c>
      <c r="E49" t="s">
        <v>24</v>
      </c>
      <c r="F49" t="s">
        <v>14</v>
      </c>
      <c r="G49">
        <v>31.57</v>
      </c>
      <c r="I49" s="1">
        <f t="shared" si="6"/>
        <v>2.6066972477064221</v>
      </c>
      <c r="J49" t="s">
        <v>25</v>
      </c>
      <c r="K49" t="s">
        <v>92</v>
      </c>
    </row>
    <row r="50" spans="1:11" x14ac:dyDescent="0.3">
      <c r="A50">
        <v>20260314</v>
      </c>
      <c r="B50" t="s">
        <v>93</v>
      </c>
      <c r="C50" t="s">
        <v>11</v>
      </c>
      <c r="E50" t="s">
        <v>24</v>
      </c>
      <c r="F50" t="s">
        <v>14</v>
      </c>
      <c r="G50">
        <v>8</v>
      </c>
      <c r="H50" s="1">
        <f>G50/121*21</f>
        <v>1.3884297520661157</v>
      </c>
      <c r="J50" t="s">
        <v>25</v>
      </c>
      <c r="K50" t="s">
        <v>94</v>
      </c>
    </row>
    <row r="51" spans="1:11" x14ac:dyDescent="0.3">
      <c r="A51">
        <v>20260314</v>
      </c>
      <c r="B51" t="s">
        <v>23</v>
      </c>
      <c r="C51" t="s">
        <v>11</v>
      </c>
      <c r="E51" t="s">
        <v>24</v>
      </c>
      <c r="F51" t="s">
        <v>14</v>
      </c>
      <c r="G51">
        <v>45.65</v>
      </c>
      <c r="I51" s="1">
        <f t="shared" ref="I51:I52" si="7">G51/109*9</f>
        <v>3.7692660550458719</v>
      </c>
      <c r="J51" t="s">
        <v>25</v>
      </c>
      <c r="K51" t="s">
        <v>95</v>
      </c>
    </row>
    <row r="52" spans="1:11" x14ac:dyDescent="0.3">
      <c r="A52">
        <v>20260314</v>
      </c>
      <c r="B52" t="s">
        <v>96</v>
      </c>
      <c r="C52" t="s">
        <v>11</v>
      </c>
      <c r="D52" t="s">
        <v>97</v>
      </c>
      <c r="E52" t="s">
        <v>13</v>
      </c>
      <c r="F52" t="s">
        <v>14</v>
      </c>
      <c r="G52">
        <v>64.400000000000006</v>
      </c>
      <c r="I52" s="1">
        <f t="shared" si="7"/>
        <v>5.3174311926605506</v>
      </c>
      <c r="J52" t="s">
        <v>15</v>
      </c>
      <c r="K52" t="s">
        <v>98</v>
      </c>
    </row>
    <row r="53" spans="1:11" x14ac:dyDescent="0.3">
      <c r="A53">
        <v>20260314</v>
      </c>
      <c r="B53" t="s">
        <v>99</v>
      </c>
      <c r="C53" t="s">
        <v>11</v>
      </c>
      <c r="D53" t="s">
        <v>100</v>
      </c>
      <c r="E53" t="s">
        <v>65</v>
      </c>
      <c r="F53" t="s">
        <v>14</v>
      </c>
      <c r="G53">
        <v>1255</v>
      </c>
      <c r="J53" t="s">
        <v>66</v>
      </c>
      <c r="K53" t="s">
        <v>101</v>
      </c>
    </row>
    <row r="54" spans="1:11" x14ac:dyDescent="0.3">
      <c r="A54">
        <v>20260313</v>
      </c>
      <c r="B54" t="s">
        <v>17</v>
      </c>
      <c r="C54" t="s">
        <v>11</v>
      </c>
      <c r="D54" t="s">
        <v>18</v>
      </c>
      <c r="E54" t="s">
        <v>19</v>
      </c>
      <c r="F54" t="s">
        <v>20</v>
      </c>
      <c r="G54">
        <v>528.47</v>
      </c>
      <c r="J54" t="s">
        <v>21</v>
      </c>
      <c r="K54" t="s">
        <v>102</v>
      </c>
    </row>
    <row r="55" spans="1:11" x14ac:dyDescent="0.3">
      <c r="A55">
        <v>20260313</v>
      </c>
      <c r="B55" t="s">
        <v>23</v>
      </c>
      <c r="C55" t="s">
        <v>11</v>
      </c>
      <c r="E55" t="s">
        <v>24</v>
      </c>
      <c r="F55" t="s">
        <v>14</v>
      </c>
      <c r="G55">
        <v>15.76</v>
      </c>
      <c r="I55" s="1">
        <f>G55/109*9</f>
        <v>1.3012844036697246</v>
      </c>
      <c r="J55" t="s">
        <v>25</v>
      </c>
      <c r="K55" t="s">
        <v>103</v>
      </c>
    </row>
    <row r="56" spans="1:11" x14ac:dyDescent="0.3">
      <c r="A56">
        <v>20260312</v>
      </c>
      <c r="B56" t="s">
        <v>17</v>
      </c>
      <c r="C56" t="s">
        <v>11</v>
      </c>
      <c r="D56" t="s">
        <v>18</v>
      </c>
      <c r="E56" t="s">
        <v>19</v>
      </c>
      <c r="F56" t="s">
        <v>20</v>
      </c>
      <c r="G56">
        <v>494.16</v>
      </c>
      <c r="J56" t="s">
        <v>21</v>
      </c>
      <c r="K56" t="s">
        <v>104</v>
      </c>
    </row>
    <row r="57" spans="1:11" x14ac:dyDescent="0.3">
      <c r="A57">
        <v>20260312</v>
      </c>
      <c r="B57" t="s">
        <v>105</v>
      </c>
      <c r="C57" t="s">
        <v>11</v>
      </c>
      <c r="D57" t="s">
        <v>106</v>
      </c>
      <c r="E57" t="s">
        <v>13</v>
      </c>
      <c r="F57" t="s">
        <v>14</v>
      </c>
      <c r="G57">
        <v>48.4</v>
      </c>
      <c r="H57">
        <f>G57/121*21</f>
        <v>8.3999999999999986</v>
      </c>
      <c r="J57" t="s">
        <v>15</v>
      </c>
      <c r="K57" t="s">
        <v>107</v>
      </c>
    </row>
    <row r="58" spans="1:11" x14ac:dyDescent="0.3">
      <c r="A58">
        <v>20260312</v>
      </c>
      <c r="B58" t="s">
        <v>23</v>
      </c>
      <c r="C58" t="s">
        <v>11</v>
      </c>
      <c r="E58" t="s">
        <v>24</v>
      </c>
      <c r="F58" t="s">
        <v>14</v>
      </c>
      <c r="G58">
        <v>20.37</v>
      </c>
      <c r="I58" s="1">
        <f>G58/109*9</f>
        <v>1.6819266055045872</v>
      </c>
      <c r="J58" t="s">
        <v>25</v>
      </c>
      <c r="K58" t="s">
        <v>108</v>
      </c>
    </row>
    <row r="59" spans="1:11" x14ac:dyDescent="0.3">
      <c r="A59">
        <v>20260312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>
        <v>100</v>
      </c>
      <c r="H59" s="1">
        <f>G59/121*21</f>
        <v>17.355371900826448</v>
      </c>
      <c r="J59" t="s">
        <v>15</v>
      </c>
      <c r="K59" t="s">
        <v>109</v>
      </c>
    </row>
    <row r="60" spans="1:11" x14ac:dyDescent="0.3">
      <c r="A60">
        <v>20260311</v>
      </c>
      <c r="B60" t="s">
        <v>17</v>
      </c>
      <c r="C60" t="s">
        <v>11</v>
      </c>
      <c r="D60" t="s">
        <v>18</v>
      </c>
      <c r="E60" t="s">
        <v>19</v>
      </c>
      <c r="F60" t="s">
        <v>20</v>
      </c>
      <c r="G60">
        <v>553.35</v>
      </c>
      <c r="J60" t="s">
        <v>21</v>
      </c>
      <c r="K60" t="s">
        <v>110</v>
      </c>
    </row>
    <row r="61" spans="1:11" x14ac:dyDescent="0.3">
      <c r="A61">
        <v>20260311</v>
      </c>
      <c r="B61" t="s">
        <v>23</v>
      </c>
      <c r="C61" t="s">
        <v>11</v>
      </c>
      <c r="E61" t="s">
        <v>24</v>
      </c>
      <c r="F61" t="s">
        <v>14</v>
      </c>
      <c r="G61">
        <v>17.98</v>
      </c>
      <c r="I61" s="1">
        <f>G61/109*9</f>
        <v>1.4845871559633028</v>
      </c>
      <c r="J61" t="s">
        <v>25</v>
      </c>
      <c r="K61" t="s">
        <v>111</v>
      </c>
    </row>
    <row r="62" spans="1:11" x14ac:dyDescent="0.3">
      <c r="A62">
        <v>20260311</v>
      </c>
      <c r="B62" t="s">
        <v>23</v>
      </c>
      <c r="C62" t="s">
        <v>11</v>
      </c>
      <c r="E62" t="s">
        <v>24</v>
      </c>
      <c r="F62" t="s">
        <v>14</v>
      </c>
      <c r="G62">
        <v>38.01</v>
      </c>
      <c r="I62" s="1">
        <f>G62/109*9</f>
        <v>3.138440366972477</v>
      </c>
      <c r="J62" t="s">
        <v>25</v>
      </c>
      <c r="K62" t="s">
        <v>112</v>
      </c>
    </row>
    <row r="63" spans="1:11" x14ac:dyDescent="0.3">
      <c r="A63">
        <v>20260311</v>
      </c>
      <c r="B63" t="s">
        <v>58</v>
      </c>
      <c r="C63" t="s">
        <v>11</v>
      </c>
      <c r="D63" t="s">
        <v>59</v>
      </c>
      <c r="E63" t="s">
        <v>30</v>
      </c>
      <c r="F63" t="s">
        <v>14</v>
      </c>
      <c r="G63">
        <v>721.07</v>
      </c>
      <c r="I63">
        <v>58.96</v>
      </c>
      <c r="J63" t="s">
        <v>31</v>
      </c>
      <c r="K63" t="s">
        <v>113</v>
      </c>
    </row>
    <row r="64" spans="1:11" x14ac:dyDescent="0.3">
      <c r="A64">
        <v>20260311</v>
      </c>
      <c r="B64" t="s">
        <v>52</v>
      </c>
      <c r="C64" t="s">
        <v>11</v>
      </c>
      <c r="D64" t="s">
        <v>53</v>
      </c>
      <c r="E64" t="s">
        <v>30</v>
      </c>
      <c r="F64" t="s">
        <v>14</v>
      </c>
      <c r="G64">
        <v>39.799999999999997</v>
      </c>
      <c r="H64" s="1">
        <f>G64/121*21</f>
        <v>6.9074380165289258</v>
      </c>
      <c r="J64" t="s">
        <v>31</v>
      </c>
      <c r="K64" t="s">
        <v>114</v>
      </c>
    </row>
    <row r="65" spans="1:11" x14ac:dyDescent="0.3">
      <c r="A65">
        <v>20260310</v>
      </c>
      <c r="B65" t="s">
        <v>17</v>
      </c>
      <c r="C65" t="s">
        <v>11</v>
      </c>
      <c r="D65" t="s">
        <v>18</v>
      </c>
      <c r="E65" t="s">
        <v>19</v>
      </c>
      <c r="F65" t="s">
        <v>20</v>
      </c>
      <c r="G65">
        <v>541.98</v>
      </c>
      <c r="J65" t="s">
        <v>21</v>
      </c>
      <c r="K65" t="s">
        <v>115</v>
      </c>
    </row>
    <row r="66" spans="1:11" x14ac:dyDescent="0.3">
      <c r="A66">
        <v>20260310</v>
      </c>
      <c r="B66" t="s">
        <v>23</v>
      </c>
      <c r="C66" t="s">
        <v>11</v>
      </c>
      <c r="E66" t="s">
        <v>24</v>
      </c>
      <c r="F66" t="s">
        <v>14</v>
      </c>
      <c r="G66">
        <v>33.770000000000003</v>
      </c>
      <c r="I66" s="1">
        <f>G66/109*9</f>
        <v>2.7883486238532109</v>
      </c>
      <c r="J66" t="s">
        <v>25</v>
      </c>
      <c r="K66" t="s">
        <v>116</v>
      </c>
    </row>
    <row r="67" spans="1:11" x14ac:dyDescent="0.3">
      <c r="A67">
        <v>20260309</v>
      </c>
      <c r="B67" t="s">
        <v>17</v>
      </c>
      <c r="C67" t="s">
        <v>11</v>
      </c>
      <c r="D67" t="s">
        <v>18</v>
      </c>
      <c r="E67" t="s">
        <v>19</v>
      </c>
      <c r="F67" t="s">
        <v>20</v>
      </c>
      <c r="G67">
        <v>2821.48</v>
      </c>
      <c r="J67" t="s">
        <v>21</v>
      </c>
      <c r="K67" t="s">
        <v>117</v>
      </c>
    </row>
    <row r="68" spans="1:11" x14ac:dyDescent="0.3">
      <c r="A68">
        <v>20260309</v>
      </c>
      <c r="B68" t="s">
        <v>23</v>
      </c>
      <c r="C68" t="s">
        <v>11</v>
      </c>
      <c r="E68" t="s">
        <v>24</v>
      </c>
      <c r="F68" t="s">
        <v>14</v>
      </c>
      <c r="G68">
        <v>23.46</v>
      </c>
      <c r="I68" s="1">
        <f>G68/109*9</f>
        <v>1.9370642201834865</v>
      </c>
      <c r="J68" t="s">
        <v>25</v>
      </c>
      <c r="K68" t="s">
        <v>118</v>
      </c>
    </row>
    <row r="69" spans="1:11" x14ac:dyDescent="0.3">
      <c r="A69">
        <v>20260309</v>
      </c>
      <c r="B69" t="s">
        <v>119</v>
      </c>
      <c r="C69" t="s">
        <v>11</v>
      </c>
      <c r="D69" t="s">
        <v>120</v>
      </c>
      <c r="E69" t="s">
        <v>30</v>
      </c>
      <c r="F69" t="s">
        <v>14</v>
      </c>
      <c r="G69">
        <v>215.38</v>
      </c>
      <c r="H69">
        <f>G69/121*21</f>
        <v>37.380000000000003</v>
      </c>
      <c r="J69" t="s">
        <v>31</v>
      </c>
      <c r="K69" t="s">
        <v>121</v>
      </c>
    </row>
    <row r="70" spans="1:11" x14ac:dyDescent="0.3">
      <c r="A70">
        <v>20260308</v>
      </c>
      <c r="B70" t="s">
        <v>122</v>
      </c>
      <c r="C70" t="s">
        <v>11</v>
      </c>
      <c r="D70" t="s">
        <v>123</v>
      </c>
      <c r="E70" t="s">
        <v>13</v>
      </c>
      <c r="F70" t="s">
        <v>14</v>
      </c>
      <c r="G70">
        <v>26.85</v>
      </c>
      <c r="H70" s="1">
        <f>G70/121*21</f>
        <v>4.6599173553719009</v>
      </c>
      <c r="J70" t="s">
        <v>15</v>
      </c>
      <c r="K70" t="s">
        <v>124</v>
      </c>
    </row>
    <row r="71" spans="1:11" x14ac:dyDescent="0.3">
      <c r="A71">
        <v>20260308</v>
      </c>
      <c r="B71" t="s">
        <v>23</v>
      </c>
      <c r="C71" t="s">
        <v>11</v>
      </c>
      <c r="E71" t="s">
        <v>24</v>
      </c>
      <c r="F71" t="s">
        <v>14</v>
      </c>
      <c r="G71">
        <v>20.85</v>
      </c>
      <c r="I71" s="1">
        <f t="shared" ref="I71:I73" si="8">G71/109*9</f>
        <v>1.7215596330275231</v>
      </c>
      <c r="J71" t="s">
        <v>25</v>
      </c>
      <c r="K71" t="s">
        <v>125</v>
      </c>
    </row>
    <row r="72" spans="1:11" x14ac:dyDescent="0.3">
      <c r="A72">
        <v>20260308</v>
      </c>
      <c r="B72" t="s">
        <v>23</v>
      </c>
      <c r="C72" t="s">
        <v>11</v>
      </c>
      <c r="E72" t="s">
        <v>24</v>
      </c>
      <c r="F72" t="s">
        <v>14</v>
      </c>
      <c r="G72">
        <v>52.81</v>
      </c>
      <c r="I72" s="1">
        <f t="shared" si="8"/>
        <v>4.360458715596331</v>
      </c>
      <c r="J72" t="s">
        <v>25</v>
      </c>
      <c r="K72" t="s">
        <v>126</v>
      </c>
    </row>
    <row r="73" spans="1:11" x14ac:dyDescent="0.3">
      <c r="A73">
        <v>20260307</v>
      </c>
      <c r="B73" t="s">
        <v>23</v>
      </c>
      <c r="C73" t="s">
        <v>11</v>
      </c>
      <c r="E73" t="s">
        <v>24</v>
      </c>
      <c r="F73" t="s">
        <v>14</v>
      </c>
      <c r="G73">
        <v>23.67</v>
      </c>
      <c r="I73" s="1">
        <f t="shared" si="8"/>
        <v>1.9544036697247706</v>
      </c>
      <c r="J73" t="s">
        <v>25</v>
      </c>
      <c r="K73" t="s">
        <v>127</v>
      </c>
    </row>
    <row r="74" spans="1:11" x14ac:dyDescent="0.3">
      <c r="A74">
        <v>20260306</v>
      </c>
      <c r="B74" t="s">
        <v>17</v>
      </c>
      <c r="C74" t="s">
        <v>11</v>
      </c>
      <c r="D74" t="s">
        <v>18</v>
      </c>
      <c r="E74" t="s">
        <v>19</v>
      </c>
      <c r="F74" t="s">
        <v>20</v>
      </c>
      <c r="G74">
        <v>354.3</v>
      </c>
      <c r="J74" t="s">
        <v>21</v>
      </c>
      <c r="K74" t="s">
        <v>128</v>
      </c>
    </row>
    <row r="75" spans="1:11" x14ac:dyDescent="0.3">
      <c r="A75">
        <v>20260306</v>
      </c>
      <c r="B75" t="s">
        <v>23</v>
      </c>
      <c r="C75" t="s">
        <v>11</v>
      </c>
      <c r="E75" t="s">
        <v>24</v>
      </c>
      <c r="F75" t="s">
        <v>14</v>
      </c>
      <c r="G75">
        <v>17.8</v>
      </c>
      <c r="I75" s="1">
        <f t="shared" ref="I75:I76" si="9">G75/109*9</f>
        <v>1.4697247706422019</v>
      </c>
      <c r="J75" t="s">
        <v>25</v>
      </c>
      <c r="K75" t="s">
        <v>129</v>
      </c>
    </row>
    <row r="76" spans="1:11" x14ac:dyDescent="0.3">
      <c r="A76">
        <v>20260306</v>
      </c>
      <c r="B76" t="s">
        <v>130</v>
      </c>
      <c r="C76" t="s">
        <v>11</v>
      </c>
      <c r="E76" t="s">
        <v>24</v>
      </c>
      <c r="F76" t="s">
        <v>14</v>
      </c>
      <c r="G76">
        <v>1675</v>
      </c>
      <c r="I76" s="1">
        <f t="shared" si="9"/>
        <v>138.30275229357798</v>
      </c>
      <c r="J76" t="s">
        <v>25</v>
      </c>
      <c r="K76" t="s">
        <v>131</v>
      </c>
    </row>
    <row r="77" spans="1:11" x14ac:dyDescent="0.3">
      <c r="A77">
        <v>20260305</v>
      </c>
      <c r="B77" t="s">
        <v>17</v>
      </c>
      <c r="C77" t="s">
        <v>11</v>
      </c>
      <c r="D77" t="s">
        <v>18</v>
      </c>
      <c r="E77" t="s">
        <v>19</v>
      </c>
      <c r="F77" t="s">
        <v>20</v>
      </c>
      <c r="G77">
        <v>458</v>
      </c>
      <c r="J77" t="s">
        <v>21</v>
      </c>
      <c r="K77" t="s">
        <v>132</v>
      </c>
    </row>
    <row r="78" spans="1:11" x14ac:dyDescent="0.3">
      <c r="A78">
        <v>20260305</v>
      </c>
      <c r="B78" t="s">
        <v>23</v>
      </c>
      <c r="C78" t="s">
        <v>11</v>
      </c>
      <c r="E78" t="s">
        <v>24</v>
      </c>
      <c r="F78" t="s">
        <v>14</v>
      </c>
      <c r="G78">
        <v>21.16</v>
      </c>
      <c r="I78" s="1">
        <f>G78/109*9</f>
        <v>1.7471559633027522</v>
      </c>
      <c r="J78" t="s">
        <v>25</v>
      </c>
      <c r="K78" t="s">
        <v>133</v>
      </c>
    </row>
    <row r="79" spans="1:11" x14ac:dyDescent="0.3">
      <c r="A79">
        <v>20260304</v>
      </c>
      <c r="B79" t="s">
        <v>17</v>
      </c>
      <c r="C79" t="s">
        <v>11</v>
      </c>
      <c r="D79" t="s">
        <v>18</v>
      </c>
      <c r="E79" t="s">
        <v>19</v>
      </c>
      <c r="F79" t="s">
        <v>20</v>
      </c>
      <c r="G79">
        <v>468.84</v>
      </c>
      <c r="J79" t="s">
        <v>21</v>
      </c>
      <c r="K79" t="s">
        <v>134</v>
      </c>
    </row>
    <row r="80" spans="1:11" x14ac:dyDescent="0.3">
      <c r="A80">
        <v>20260304</v>
      </c>
      <c r="B80" t="s">
        <v>63</v>
      </c>
      <c r="C80" t="s">
        <v>11</v>
      </c>
      <c r="D80" t="s">
        <v>64</v>
      </c>
      <c r="E80" t="s">
        <v>65</v>
      </c>
      <c r="F80" t="s">
        <v>14</v>
      </c>
      <c r="G80">
        <v>4986.79</v>
      </c>
      <c r="H80" s="1">
        <f>G80/121*21</f>
        <v>865.47595041322313</v>
      </c>
      <c r="J80" t="s">
        <v>66</v>
      </c>
      <c r="K80" t="s">
        <v>135</v>
      </c>
    </row>
    <row r="81" spans="1:11" x14ac:dyDescent="0.3">
      <c r="A81">
        <v>20260304</v>
      </c>
      <c r="B81" t="s">
        <v>23</v>
      </c>
      <c r="C81" t="s">
        <v>11</v>
      </c>
      <c r="E81" t="s">
        <v>24</v>
      </c>
      <c r="F81" t="s">
        <v>14</v>
      </c>
      <c r="G81">
        <v>5.14</v>
      </c>
      <c r="I81" s="1">
        <f>G81/109*9</f>
        <v>0.42440366972477062</v>
      </c>
      <c r="J81" t="s">
        <v>25</v>
      </c>
      <c r="K81" t="s">
        <v>136</v>
      </c>
    </row>
    <row r="82" spans="1:11" x14ac:dyDescent="0.3">
      <c r="A82">
        <v>20260304</v>
      </c>
      <c r="B82" t="s">
        <v>58</v>
      </c>
      <c r="C82" t="s">
        <v>11</v>
      </c>
      <c r="D82" t="s">
        <v>59</v>
      </c>
      <c r="E82" t="s">
        <v>30</v>
      </c>
      <c r="F82" t="s">
        <v>14</v>
      </c>
      <c r="G82">
        <v>696.06</v>
      </c>
      <c r="H82">
        <v>10.79</v>
      </c>
      <c r="I82">
        <v>56.96</v>
      </c>
      <c r="J82" t="s">
        <v>31</v>
      </c>
      <c r="K82" t="s">
        <v>137</v>
      </c>
    </row>
    <row r="83" spans="1:11" x14ac:dyDescent="0.3">
      <c r="A83">
        <v>20260303</v>
      </c>
      <c r="B83" t="s">
        <v>17</v>
      </c>
      <c r="C83" t="s">
        <v>11</v>
      </c>
      <c r="D83" t="s">
        <v>18</v>
      </c>
      <c r="E83" t="s">
        <v>19</v>
      </c>
      <c r="F83" t="s">
        <v>20</v>
      </c>
      <c r="G83">
        <v>907.07</v>
      </c>
      <c r="J83" t="s">
        <v>21</v>
      </c>
      <c r="K83" t="s">
        <v>138</v>
      </c>
    </row>
    <row r="84" spans="1:11" x14ac:dyDescent="0.3">
      <c r="A84">
        <v>20260303</v>
      </c>
      <c r="B84" t="s">
        <v>23</v>
      </c>
      <c r="C84" t="s">
        <v>11</v>
      </c>
      <c r="E84" t="s">
        <v>24</v>
      </c>
      <c r="F84" t="s">
        <v>14</v>
      </c>
      <c r="G84">
        <v>16.350000000000001</v>
      </c>
      <c r="I84" s="1">
        <f t="shared" ref="I84:I86" si="10">G84/109*9</f>
        <v>1.35</v>
      </c>
      <c r="J84" t="s">
        <v>25</v>
      </c>
      <c r="K84" t="s">
        <v>139</v>
      </c>
    </row>
    <row r="85" spans="1:11" x14ac:dyDescent="0.3">
      <c r="A85">
        <v>20260303</v>
      </c>
      <c r="B85" t="s">
        <v>23</v>
      </c>
      <c r="C85" t="s">
        <v>11</v>
      </c>
      <c r="E85" t="s">
        <v>24</v>
      </c>
      <c r="F85" t="s">
        <v>14</v>
      </c>
      <c r="G85">
        <v>14.96</v>
      </c>
      <c r="I85" s="1">
        <f t="shared" si="10"/>
        <v>1.2352293577981652</v>
      </c>
      <c r="J85" t="s">
        <v>25</v>
      </c>
      <c r="K85" t="s">
        <v>140</v>
      </c>
    </row>
    <row r="86" spans="1:11" x14ac:dyDescent="0.3">
      <c r="A86">
        <v>20260303</v>
      </c>
      <c r="B86" t="s">
        <v>23</v>
      </c>
      <c r="C86" t="s">
        <v>11</v>
      </c>
      <c r="E86" t="s">
        <v>24</v>
      </c>
      <c r="F86" t="s">
        <v>14</v>
      </c>
      <c r="G86">
        <v>3.96</v>
      </c>
      <c r="I86" s="1">
        <f t="shared" si="10"/>
        <v>0.32697247706422017</v>
      </c>
      <c r="J86" t="s">
        <v>25</v>
      </c>
      <c r="K86" t="s">
        <v>141</v>
      </c>
    </row>
    <row r="87" spans="1:11" x14ac:dyDescent="0.3">
      <c r="A87">
        <v>20260302</v>
      </c>
      <c r="B87" t="s">
        <v>17</v>
      </c>
      <c r="C87" t="s">
        <v>11</v>
      </c>
      <c r="D87" t="s">
        <v>18</v>
      </c>
      <c r="E87" t="s">
        <v>19</v>
      </c>
      <c r="F87" t="s">
        <v>20</v>
      </c>
      <c r="G87">
        <v>3453.13</v>
      </c>
      <c r="J87" t="s">
        <v>21</v>
      </c>
      <c r="K87" t="s">
        <v>142</v>
      </c>
    </row>
    <row r="88" spans="1:11" x14ac:dyDescent="0.3">
      <c r="A88">
        <v>20260302</v>
      </c>
      <c r="B88" t="s">
        <v>143</v>
      </c>
      <c r="C88" t="s">
        <v>11</v>
      </c>
      <c r="D88" t="s">
        <v>144</v>
      </c>
      <c r="E88" t="s">
        <v>65</v>
      </c>
      <c r="F88" t="s">
        <v>14</v>
      </c>
      <c r="G88">
        <v>5645.83</v>
      </c>
      <c r="H88" s="1">
        <f>G88/121*21</f>
        <v>979.8547933884297</v>
      </c>
      <c r="J88" t="s">
        <v>66</v>
      </c>
      <c r="K88" t="s">
        <v>145</v>
      </c>
    </row>
    <row r="89" spans="1:11" x14ac:dyDescent="0.3">
      <c r="A89">
        <v>20260302</v>
      </c>
      <c r="B89" t="s">
        <v>146</v>
      </c>
      <c r="C89" t="s">
        <v>11</v>
      </c>
      <c r="D89" t="s">
        <v>147</v>
      </c>
      <c r="E89" t="s">
        <v>65</v>
      </c>
      <c r="F89" t="s">
        <v>14</v>
      </c>
      <c r="G89">
        <v>545.28</v>
      </c>
      <c r="J89" t="s">
        <v>66</v>
      </c>
      <c r="K89" t="s">
        <v>148</v>
      </c>
    </row>
    <row r="90" spans="1:11" x14ac:dyDescent="0.3">
      <c r="A90">
        <v>20260302</v>
      </c>
      <c r="B90" t="s">
        <v>149</v>
      </c>
      <c r="C90" t="s">
        <v>11</v>
      </c>
      <c r="D90" t="s">
        <v>150</v>
      </c>
      <c r="E90" t="s">
        <v>65</v>
      </c>
      <c r="F90" t="s">
        <v>14</v>
      </c>
      <c r="G90">
        <v>143.88</v>
      </c>
      <c r="J90" t="s">
        <v>66</v>
      </c>
      <c r="K90" t="s">
        <v>151</v>
      </c>
    </row>
    <row r="91" spans="1:11" x14ac:dyDescent="0.3">
      <c r="A91">
        <v>20260302</v>
      </c>
      <c r="B91" t="s">
        <v>152</v>
      </c>
      <c r="C91" t="s">
        <v>11</v>
      </c>
      <c r="D91" t="s">
        <v>153</v>
      </c>
      <c r="E91" t="s">
        <v>65</v>
      </c>
      <c r="F91" t="s">
        <v>14</v>
      </c>
      <c r="G91">
        <v>425.9</v>
      </c>
      <c r="J91" t="s">
        <v>66</v>
      </c>
      <c r="K91" t="s">
        <v>154</v>
      </c>
    </row>
    <row r="92" spans="1:11" x14ac:dyDescent="0.3">
      <c r="A92">
        <v>20260302</v>
      </c>
      <c r="B92" t="s">
        <v>155</v>
      </c>
      <c r="C92" t="s">
        <v>11</v>
      </c>
      <c r="D92" t="s">
        <v>156</v>
      </c>
      <c r="E92" t="s">
        <v>65</v>
      </c>
      <c r="F92" t="s">
        <v>14</v>
      </c>
      <c r="G92">
        <v>137.38</v>
      </c>
      <c r="J92" t="s">
        <v>66</v>
      </c>
      <c r="K92" t="s">
        <v>157</v>
      </c>
    </row>
    <row r="93" spans="1:11" x14ac:dyDescent="0.3">
      <c r="A93">
        <v>20260302</v>
      </c>
      <c r="B93" t="s">
        <v>158</v>
      </c>
      <c r="C93" t="s">
        <v>11</v>
      </c>
      <c r="D93" t="s">
        <v>159</v>
      </c>
      <c r="E93" t="s">
        <v>65</v>
      </c>
      <c r="F93" t="s">
        <v>14</v>
      </c>
      <c r="G93">
        <v>443.77</v>
      </c>
      <c r="J93" t="s">
        <v>66</v>
      </c>
      <c r="K93" t="s">
        <v>160</v>
      </c>
    </row>
    <row r="94" spans="1:11" x14ac:dyDescent="0.3">
      <c r="A94">
        <v>20260302</v>
      </c>
      <c r="B94" t="s">
        <v>161</v>
      </c>
      <c r="C94" t="s">
        <v>11</v>
      </c>
      <c r="D94" t="s">
        <v>162</v>
      </c>
      <c r="E94" t="s">
        <v>65</v>
      </c>
      <c r="F94" t="s">
        <v>14</v>
      </c>
      <c r="G94">
        <v>520.88</v>
      </c>
      <c r="J94" t="s">
        <v>66</v>
      </c>
      <c r="K94" t="s">
        <v>163</v>
      </c>
    </row>
    <row r="95" spans="1:11" x14ac:dyDescent="0.3">
      <c r="A95">
        <v>20260302</v>
      </c>
      <c r="B95" t="s">
        <v>164</v>
      </c>
      <c r="C95" t="s">
        <v>11</v>
      </c>
      <c r="D95" t="s">
        <v>165</v>
      </c>
      <c r="E95" t="s">
        <v>65</v>
      </c>
      <c r="F95" t="s">
        <v>14</v>
      </c>
      <c r="G95">
        <v>1043.08</v>
      </c>
      <c r="J95" t="s">
        <v>66</v>
      </c>
      <c r="K95" t="s">
        <v>166</v>
      </c>
    </row>
    <row r="96" spans="1:11" x14ac:dyDescent="0.3">
      <c r="A96">
        <v>20260302</v>
      </c>
      <c r="B96" t="s">
        <v>167</v>
      </c>
      <c r="C96" t="s">
        <v>11</v>
      </c>
      <c r="D96" t="s">
        <v>168</v>
      </c>
      <c r="E96" t="s">
        <v>65</v>
      </c>
      <c r="F96" t="s">
        <v>14</v>
      </c>
      <c r="G96">
        <v>921.23</v>
      </c>
      <c r="J96" t="s">
        <v>66</v>
      </c>
      <c r="K96" t="s">
        <v>169</v>
      </c>
    </row>
    <row r="97" spans="1:11" x14ac:dyDescent="0.3">
      <c r="A97">
        <v>20260302</v>
      </c>
      <c r="B97" t="s">
        <v>170</v>
      </c>
      <c r="C97" t="s">
        <v>11</v>
      </c>
      <c r="D97" t="s">
        <v>171</v>
      </c>
      <c r="E97" t="s">
        <v>65</v>
      </c>
      <c r="F97" t="s">
        <v>14</v>
      </c>
      <c r="G97">
        <v>1166.1600000000001</v>
      </c>
      <c r="J97" t="s">
        <v>66</v>
      </c>
      <c r="K97" t="s">
        <v>172</v>
      </c>
    </row>
    <row r="98" spans="1:11" x14ac:dyDescent="0.3">
      <c r="A98">
        <v>20260302</v>
      </c>
      <c r="B98" t="s">
        <v>173</v>
      </c>
      <c r="C98" t="s">
        <v>11</v>
      </c>
      <c r="D98" t="s">
        <v>174</v>
      </c>
      <c r="E98" t="s">
        <v>65</v>
      </c>
      <c r="F98" t="s">
        <v>14</v>
      </c>
      <c r="G98">
        <v>171.46</v>
      </c>
      <c r="J98" t="s">
        <v>66</v>
      </c>
      <c r="K98" t="s">
        <v>175</v>
      </c>
    </row>
    <row r="99" spans="1:11" x14ac:dyDescent="0.3">
      <c r="A99">
        <v>20260302</v>
      </c>
      <c r="B99" t="s">
        <v>23</v>
      </c>
      <c r="C99" t="s">
        <v>11</v>
      </c>
      <c r="E99" t="s">
        <v>24</v>
      </c>
      <c r="F99" t="s">
        <v>14</v>
      </c>
      <c r="G99">
        <v>37.99</v>
      </c>
      <c r="I99" s="1">
        <f t="shared" ref="I99:I103" si="11">G99/109*9</f>
        <v>3.1367889908256883</v>
      </c>
      <c r="J99" t="s">
        <v>25</v>
      </c>
      <c r="K99" t="s">
        <v>176</v>
      </c>
    </row>
    <row r="100" spans="1:11" x14ac:dyDescent="0.3">
      <c r="A100">
        <v>20260301</v>
      </c>
      <c r="B100" t="s">
        <v>23</v>
      </c>
      <c r="C100" t="s">
        <v>11</v>
      </c>
      <c r="E100" t="s">
        <v>24</v>
      </c>
      <c r="F100" t="s">
        <v>14</v>
      </c>
      <c r="G100">
        <v>45.42</v>
      </c>
      <c r="I100" s="1">
        <f t="shared" si="11"/>
        <v>3.7502752293577983</v>
      </c>
      <c r="J100" t="s">
        <v>25</v>
      </c>
      <c r="K100" t="s">
        <v>177</v>
      </c>
    </row>
    <row r="101" spans="1:11" x14ac:dyDescent="0.3">
      <c r="A101">
        <v>20260301</v>
      </c>
      <c r="B101" t="s">
        <v>23</v>
      </c>
      <c r="C101" t="s">
        <v>11</v>
      </c>
      <c r="E101" t="s">
        <v>24</v>
      </c>
      <c r="F101" t="s">
        <v>14</v>
      </c>
      <c r="G101">
        <v>16.350000000000001</v>
      </c>
      <c r="I101" s="1">
        <f t="shared" si="11"/>
        <v>1.35</v>
      </c>
      <c r="J101" t="s">
        <v>25</v>
      </c>
      <c r="K101" t="s">
        <v>178</v>
      </c>
    </row>
    <row r="102" spans="1:11" x14ac:dyDescent="0.3">
      <c r="A102">
        <v>20260301</v>
      </c>
      <c r="B102" t="s">
        <v>23</v>
      </c>
      <c r="C102" t="s">
        <v>11</v>
      </c>
      <c r="E102" t="s">
        <v>24</v>
      </c>
      <c r="F102" t="s">
        <v>14</v>
      </c>
      <c r="G102">
        <v>9.34</v>
      </c>
      <c r="I102" s="1">
        <f t="shared" si="11"/>
        <v>0.77119266055045865</v>
      </c>
      <c r="J102" t="s">
        <v>25</v>
      </c>
      <c r="K102" t="s">
        <v>179</v>
      </c>
    </row>
    <row r="103" spans="1:11" x14ac:dyDescent="0.3">
      <c r="A103">
        <v>20260228</v>
      </c>
      <c r="B103" t="s">
        <v>23</v>
      </c>
      <c r="C103" t="s">
        <v>11</v>
      </c>
      <c r="E103" t="s">
        <v>24</v>
      </c>
      <c r="F103" t="s">
        <v>14</v>
      </c>
      <c r="G103">
        <v>30.31</v>
      </c>
      <c r="I103" s="1">
        <f t="shared" si="11"/>
        <v>2.5026605504587156</v>
      </c>
      <c r="J103" t="s">
        <v>25</v>
      </c>
      <c r="K103" t="s">
        <v>180</v>
      </c>
    </row>
    <row r="104" spans="1:11" x14ac:dyDescent="0.3">
      <c r="A104">
        <v>20260227</v>
      </c>
      <c r="B104" t="s">
        <v>17</v>
      </c>
      <c r="C104" t="s">
        <v>11</v>
      </c>
      <c r="D104" t="s">
        <v>18</v>
      </c>
      <c r="E104" t="s">
        <v>19</v>
      </c>
      <c r="F104" t="s">
        <v>20</v>
      </c>
      <c r="G104">
        <v>703.95</v>
      </c>
      <c r="J104" t="s">
        <v>21</v>
      </c>
      <c r="K104" t="s">
        <v>181</v>
      </c>
    </row>
    <row r="105" spans="1:11" x14ac:dyDescent="0.3">
      <c r="A105">
        <v>20260227</v>
      </c>
      <c r="B105" t="s">
        <v>23</v>
      </c>
      <c r="C105" t="s">
        <v>11</v>
      </c>
      <c r="E105" t="s">
        <v>24</v>
      </c>
      <c r="F105" t="s">
        <v>14</v>
      </c>
      <c r="G105">
        <v>24.48</v>
      </c>
      <c r="I105" s="1">
        <f>G105/109*9</f>
        <v>2.0212844036697248</v>
      </c>
      <c r="J105" t="s">
        <v>25</v>
      </c>
      <c r="K105" t="s">
        <v>182</v>
      </c>
    </row>
    <row r="106" spans="1:11" x14ac:dyDescent="0.3">
      <c r="A106">
        <v>20260226</v>
      </c>
      <c r="B106" t="s">
        <v>17</v>
      </c>
      <c r="C106" t="s">
        <v>11</v>
      </c>
      <c r="D106" t="s">
        <v>18</v>
      </c>
      <c r="E106" t="s">
        <v>19</v>
      </c>
      <c r="F106" t="s">
        <v>20</v>
      </c>
      <c r="G106">
        <v>828.06</v>
      </c>
      <c r="J106" t="s">
        <v>21</v>
      </c>
      <c r="K106" t="s">
        <v>183</v>
      </c>
    </row>
    <row r="107" spans="1:11" x14ac:dyDescent="0.3">
      <c r="A107">
        <v>20260226</v>
      </c>
      <c r="B107" t="s">
        <v>23</v>
      </c>
      <c r="C107" t="s">
        <v>11</v>
      </c>
      <c r="E107" t="s">
        <v>24</v>
      </c>
      <c r="F107" t="s">
        <v>14</v>
      </c>
      <c r="G107">
        <v>9.18</v>
      </c>
      <c r="I107" s="1">
        <f t="shared" ref="I107:I110" si="12">G107/109*9</f>
        <v>0.7579816513761467</v>
      </c>
      <c r="J107" t="s">
        <v>25</v>
      </c>
      <c r="K107" t="s">
        <v>184</v>
      </c>
    </row>
    <row r="108" spans="1:11" x14ac:dyDescent="0.3">
      <c r="A108">
        <v>20260226</v>
      </c>
      <c r="B108" t="s">
        <v>23</v>
      </c>
      <c r="C108" t="s">
        <v>11</v>
      </c>
      <c r="E108" t="s">
        <v>24</v>
      </c>
      <c r="F108" t="s">
        <v>14</v>
      </c>
      <c r="G108">
        <v>5.38</v>
      </c>
      <c r="I108" s="1">
        <f t="shared" si="12"/>
        <v>0.44422018348623854</v>
      </c>
      <c r="J108" t="s">
        <v>25</v>
      </c>
      <c r="K108" t="s">
        <v>185</v>
      </c>
    </row>
    <row r="109" spans="1:11" x14ac:dyDescent="0.3">
      <c r="A109">
        <v>20260226</v>
      </c>
      <c r="B109" t="s">
        <v>23</v>
      </c>
      <c r="C109" t="s">
        <v>11</v>
      </c>
      <c r="E109" t="s">
        <v>24</v>
      </c>
      <c r="F109" t="s">
        <v>14</v>
      </c>
      <c r="G109">
        <v>10.31</v>
      </c>
      <c r="I109" s="1">
        <f t="shared" si="12"/>
        <v>0.85128440366972491</v>
      </c>
      <c r="J109" t="s">
        <v>25</v>
      </c>
      <c r="K109" t="s">
        <v>186</v>
      </c>
    </row>
    <row r="110" spans="1:11" x14ac:dyDescent="0.3">
      <c r="A110">
        <v>20260226</v>
      </c>
      <c r="B110" t="s">
        <v>23</v>
      </c>
      <c r="C110" t="s">
        <v>11</v>
      </c>
      <c r="E110" t="s">
        <v>24</v>
      </c>
      <c r="F110" t="s">
        <v>14</v>
      </c>
      <c r="G110">
        <v>18.46</v>
      </c>
      <c r="I110" s="1">
        <f t="shared" si="12"/>
        <v>1.5242201834862388</v>
      </c>
      <c r="J110" t="s">
        <v>25</v>
      </c>
      <c r="K110" t="s">
        <v>187</v>
      </c>
    </row>
    <row r="111" spans="1:11" x14ac:dyDescent="0.3">
      <c r="A111">
        <v>20260226</v>
      </c>
      <c r="B111" t="s">
        <v>43</v>
      </c>
      <c r="C111" t="s">
        <v>11</v>
      </c>
      <c r="E111" t="s">
        <v>44</v>
      </c>
      <c r="F111" t="s">
        <v>14</v>
      </c>
      <c r="G111">
        <v>35.56</v>
      </c>
      <c r="J111" t="s">
        <v>45</v>
      </c>
      <c r="K111" t="s">
        <v>188</v>
      </c>
    </row>
    <row r="112" spans="1:11" x14ac:dyDescent="0.3">
      <c r="A112">
        <v>20260226</v>
      </c>
      <c r="B112" t="s">
        <v>52</v>
      </c>
      <c r="C112" t="s">
        <v>11</v>
      </c>
      <c r="D112" t="s">
        <v>53</v>
      </c>
      <c r="E112" t="s">
        <v>30</v>
      </c>
      <c r="F112" t="s">
        <v>14</v>
      </c>
      <c r="G112">
        <v>54.7</v>
      </c>
      <c r="H112" s="1">
        <f>G112/121*21</f>
        <v>9.4933884297520663</v>
      </c>
      <c r="J112" t="s">
        <v>31</v>
      </c>
      <c r="K112" t="s">
        <v>189</v>
      </c>
    </row>
    <row r="113" spans="1:11" x14ac:dyDescent="0.3">
      <c r="A113">
        <v>20260225</v>
      </c>
      <c r="B113" t="s">
        <v>17</v>
      </c>
      <c r="C113" t="s">
        <v>11</v>
      </c>
      <c r="D113" t="s">
        <v>18</v>
      </c>
      <c r="E113" t="s">
        <v>19</v>
      </c>
      <c r="F113" t="s">
        <v>20</v>
      </c>
      <c r="G113">
        <v>534.52</v>
      </c>
      <c r="J113" t="s">
        <v>21</v>
      </c>
      <c r="K113" t="s">
        <v>190</v>
      </c>
    </row>
    <row r="114" spans="1:11" x14ac:dyDescent="0.3">
      <c r="A114">
        <v>20260225</v>
      </c>
      <c r="B114" t="s">
        <v>58</v>
      </c>
      <c r="C114" t="s">
        <v>11</v>
      </c>
      <c r="D114" t="s">
        <v>59</v>
      </c>
      <c r="E114" t="s">
        <v>30</v>
      </c>
      <c r="F114" t="s">
        <v>14</v>
      </c>
      <c r="G114">
        <v>1111.82</v>
      </c>
      <c r="H114">
        <v>18.239999999999998</v>
      </c>
      <c r="I114">
        <v>78.5</v>
      </c>
      <c r="J114" t="s">
        <v>31</v>
      </c>
      <c r="K114" t="s">
        <v>191</v>
      </c>
    </row>
    <row r="115" spans="1:11" x14ac:dyDescent="0.3">
      <c r="A115">
        <v>20260224</v>
      </c>
      <c r="B115" t="s">
        <v>17</v>
      </c>
      <c r="C115" t="s">
        <v>11</v>
      </c>
      <c r="D115" t="s">
        <v>18</v>
      </c>
      <c r="E115" t="s">
        <v>19</v>
      </c>
      <c r="F115" t="s">
        <v>20</v>
      </c>
      <c r="G115">
        <v>656.98</v>
      </c>
      <c r="J115" t="s">
        <v>21</v>
      </c>
      <c r="K115" t="s">
        <v>192</v>
      </c>
    </row>
    <row r="116" spans="1:11" x14ac:dyDescent="0.3">
      <c r="A116">
        <v>20260224</v>
      </c>
      <c r="B116" t="s">
        <v>23</v>
      </c>
      <c r="C116" t="s">
        <v>11</v>
      </c>
      <c r="E116" t="s">
        <v>24</v>
      </c>
      <c r="F116" t="s">
        <v>14</v>
      </c>
      <c r="G116">
        <v>23.41</v>
      </c>
      <c r="I116" s="1">
        <f>G116/109*9</f>
        <v>1.9329357798165139</v>
      </c>
      <c r="J116" t="s">
        <v>25</v>
      </c>
      <c r="K116" t="s">
        <v>193</v>
      </c>
    </row>
    <row r="117" spans="1:11" x14ac:dyDescent="0.3">
      <c r="A117">
        <v>20260223</v>
      </c>
      <c r="B117" t="s">
        <v>17</v>
      </c>
      <c r="C117" t="s">
        <v>11</v>
      </c>
      <c r="D117" t="s">
        <v>18</v>
      </c>
      <c r="E117" t="s">
        <v>19</v>
      </c>
      <c r="F117" t="s">
        <v>20</v>
      </c>
      <c r="G117">
        <v>2630.55</v>
      </c>
      <c r="J117" t="s">
        <v>21</v>
      </c>
      <c r="K117" t="s">
        <v>194</v>
      </c>
    </row>
    <row r="118" spans="1:11" x14ac:dyDescent="0.3">
      <c r="A118">
        <v>20260223</v>
      </c>
      <c r="B118" t="s">
        <v>195</v>
      </c>
      <c r="C118" t="s">
        <v>11</v>
      </c>
      <c r="D118" t="s">
        <v>123</v>
      </c>
      <c r="E118" t="s">
        <v>13</v>
      </c>
      <c r="F118" t="s">
        <v>14</v>
      </c>
      <c r="G118">
        <v>1633.81</v>
      </c>
      <c r="I118" s="1">
        <f>G118/109*9</f>
        <v>134.90174311926606</v>
      </c>
      <c r="J118" t="s">
        <v>15</v>
      </c>
      <c r="K118" t="s">
        <v>196</v>
      </c>
    </row>
    <row r="119" spans="1:11" x14ac:dyDescent="0.3">
      <c r="A119">
        <v>20260223</v>
      </c>
      <c r="B119" t="s">
        <v>23</v>
      </c>
      <c r="C119" t="s">
        <v>11</v>
      </c>
      <c r="E119" t="s">
        <v>24</v>
      </c>
      <c r="F119" t="s">
        <v>14</v>
      </c>
      <c r="G119">
        <v>36.18</v>
      </c>
      <c r="I119" s="1">
        <f>G119/109*9</f>
        <v>2.9873394495412842</v>
      </c>
      <c r="J119" t="s">
        <v>25</v>
      </c>
      <c r="K119" t="s">
        <v>197</v>
      </c>
    </row>
    <row r="120" spans="1:11" x14ac:dyDescent="0.3">
      <c r="A120">
        <v>20260222</v>
      </c>
      <c r="B120" t="s">
        <v>23</v>
      </c>
      <c r="C120" t="s">
        <v>11</v>
      </c>
      <c r="E120" t="s">
        <v>24</v>
      </c>
      <c r="F120" t="s">
        <v>14</v>
      </c>
      <c r="G120">
        <v>12.76</v>
      </c>
      <c r="I120" s="1">
        <f t="shared" ref="I120:I125" si="13">G120/109*9</f>
        <v>1.0535779816513762</v>
      </c>
      <c r="J120" t="s">
        <v>25</v>
      </c>
      <c r="K120" t="s">
        <v>198</v>
      </c>
    </row>
    <row r="121" spans="1:11" x14ac:dyDescent="0.3">
      <c r="A121">
        <v>20260222</v>
      </c>
      <c r="B121" t="s">
        <v>23</v>
      </c>
      <c r="C121" t="s">
        <v>11</v>
      </c>
      <c r="E121" t="s">
        <v>24</v>
      </c>
      <c r="F121" t="s">
        <v>14</v>
      </c>
      <c r="G121">
        <v>5.07</v>
      </c>
      <c r="I121" s="1">
        <f t="shared" si="13"/>
        <v>0.41862385321100914</v>
      </c>
      <c r="J121" t="s">
        <v>25</v>
      </c>
      <c r="K121" t="s">
        <v>199</v>
      </c>
    </row>
    <row r="122" spans="1:11" x14ac:dyDescent="0.3">
      <c r="A122">
        <v>20260222</v>
      </c>
      <c r="B122" t="s">
        <v>23</v>
      </c>
      <c r="C122" t="s">
        <v>11</v>
      </c>
      <c r="E122" t="s">
        <v>24</v>
      </c>
      <c r="F122" t="s">
        <v>14</v>
      </c>
      <c r="G122">
        <v>13.9</v>
      </c>
      <c r="I122" s="1">
        <f t="shared" si="13"/>
        <v>1.1477064220183486</v>
      </c>
      <c r="J122" t="s">
        <v>25</v>
      </c>
      <c r="K122" t="s">
        <v>200</v>
      </c>
    </row>
    <row r="123" spans="1:11" x14ac:dyDescent="0.3">
      <c r="A123">
        <v>20260222</v>
      </c>
      <c r="B123" t="s">
        <v>23</v>
      </c>
      <c r="C123" t="s">
        <v>11</v>
      </c>
      <c r="E123" t="s">
        <v>24</v>
      </c>
      <c r="F123" t="s">
        <v>14</v>
      </c>
      <c r="G123">
        <v>16.28</v>
      </c>
      <c r="I123" s="1">
        <f t="shared" si="13"/>
        <v>1.3442201834862386</v>
      </c>
      <c r="J123" t="s">
        <v>25</v>
      </c>
      <c r="K123" t="s">
        <v>201</v>
      </c>
    </row>
    <row r="124" spans="1:11" x14ac:dyDescent="0.3">
      <c r="A124">
        <v>20260221</v>
      </c>
      <c r="B124" t="s">
        <v>23</v>
      </c>
      <c r="C124" t="s">
        <v>11</v>
      </c>
      <c r="E124" t="s">
        <v>24</v>
      </c>
      <c r="F124" t="s">
        <v>14</v>
      </c>
      <c r="G124">
        <v>10.36</v>
      </c>
      <c r="I124" s="1">
        <f t="shared" si="13"/>
        <v>0.85541284403669726</v>
      </c>
      <c r="J124" t="s">
        <v>25</v>
      </c>
      <c r="K124" t="s">
        <v>202</v>
      </c>
    </row>
    <row r="125" spans="1:11" x14ac:dyDescent="0.3">
      <c r="A125">
        <v>20260221</v>
      </c>
      <c r="B125" t="s">
        <v>23</v>
      </c>
      <c r="C125" t="s">
        <v>11</v>
      </c>
      <c r="E125" t="s">
        <v>24</v>
      </c>
      <c r="F125" t="s">
        <v>14</v>
      </c>
      <c r="G125">
        <v>12.49</v>
      </c>
      <c r="I125" s="1">
        <f t="shared" si="13"/>
        <v>1.0312844036697248</v>
      </c>
      <c r="J125" t="s">
        <v>25</v>
      </c>
      <c r="K125" t="s">
        <v>203</v>
      </c>
    </row>
    <row r="126" spans="1:11" x14ac:dyDescent="0.3">
      <c r="A126">
        <v>20260220</v>
      </c>
      <c r="B126" t="s">
        <v>17</v>
      </c>
      <c r="C126" t="s">
        <v>11</v>
      </c>
      <c r="D126" t="s">
        <v>18</v>
      </c>
      <c r="E126" t="s">
        <v>19</v>
      </c>
      <c r="F126" t="s">
        <v>20</v>
      </c>
      <c r="G126">
        <v>662.83</v>
      </c>
      <c r="J126" t="s">
        <v>21</v>
      </c>
      <c r="K126" t="s">
        <v>204</v>
      </c>
    </row>
    <row r="127" spans="1:11" x14ac:dyDescent="0.3">
      <c r="A127">
        <v>20260220</v>
      </c>
      <c r="B127" t="s">
        <v>23</v>
      </c>
      <c r="C127" t="s">
        <v>11</v>
      </c>
      <c r="E127" t="s">
        <v>24</v>
      </c>
      <c r="F127" t="s">
        <v>14</v>
      </c>
      <c r="G127">
        <v>60.47</v>
      </c>
      <c r="I127" s="1">
        <f t="shared" ref="I127:I128" si="14">G127/109*9</f>
        <v>4.9929357798165128</v>
      </c>
      <c r="J127" t="s">
        <v>25</v>
      </c>
      <c r="K127" t="s">
        <v>205</v>
      </c>
    </row>
    <row r="128" spans="1:11" x14ac:dyDescent="0.3">
      <c r="A128">
        <v>20260220</v>
      </c>
      <c r="B128" t="s">
        <v>23</v>
      </c>
      <c r="C128" t="s">
        <v>11</v>
      </c>
      <c r="E128" t="s">
        <v>24</v>
      </c>
      <c r="F128" t="s">
        <v>14</v>
      </c>
      <c r="G128">
        <v>6.34</v>
      </c>
      <c r="I128" s="1">
        <f t="shared" si="14"/>
        <v>0.52348623853211007</v>
      </c>
      <c r="J128" t="s">
        <v>25</v>
      </c>
      <c r="K128" t="s">
        <v>206</v>
      </c>
    </row>
    <row r="129" spans="1:11" x14ac:dyDescent="0.3">
      <c r="A129">
        <v>20260219</v>
      </c>
      <c r="B129" t="s">
        <v>17</v>
      </c>
      <c r="C129" t="s">
        <v>11</v>
      </c>
      <c r="D129" t="s">
        <v>18</v>
      </c>
      <c r="E129" t="s">
        <v>19</v>
      </c>
      <c r="F129" t="s">
        <v>20</v>
      </c>
      <c r="G129">
        <v>1003.16</v>
      </c>
      <c r="J129" t="s">
        <v>21</v>
      </c>
      <c r="K129" t="s">
        <v>207</v>
      </c>
    </row>
    <row r="130" spans="1:11" x14ac:dyDescent="0.3">
      <c r="A130">
        <v>20260219</v>
      </c>
      <c r="B130" t="s">
        <v>23</v>
      </c>
      <c r="C130" t="s">
        <v>11</v>
      </c>
      <c r="E130" t="s">
        <v>24</v>
      </c>
      <c r="F130" t="s">
        <v>14</v>
      </c>
      <c r="G130">
        <v>10.6</v>
      </c>
      <c r="I130" s="1">
        <f>G130/109*9</f>
        <v>0.87522935779816502</v>
      </c>
      <c r="J130" t="s">
        <v>25</v>
      </c>
      <c r="K130" t="s">
        <v>208</v>
      </c>
    </row>
    <row r="131" spans="1:11" x14ac:dyDescent="0.3">
      <c r="A131">
        <v>20260218</v>
      </c>
      <c r="B131" t="s">
        <v>17</v>
      </c>
      <c r="C131" t="s">
        <v>11</v>
      </c>
      <c r="D131" t="s">
        <v>18</v>
      </c>
      <c r="E131" t="s">
        <v>19</v>
      </c>
      <c r="F131" t="s">
        <v>20</v>
      </c>
      <c r="G131">
        <v>743.18</v>
      </c>
      <c r="J131" t="s">
        <v>21</v>
      </c>
      <c r="K131" t="s">
        <v>209</v>
      </c>
    </row>
    <row r="132" spans="1:11" x14ac:dyDescent="0.3">
      <c r="A132">
        <v>20260218</v>
      </c>
      <c r="B132" t="s">
        <v>23</v>
      </c>
      <c r="C132" t="s">
        <v>11</v>
      </c>
      <c r="E132" t="s">
        <v>24</v>
      </c>
      <c r="F132" t="s">
        <v>14</v>
      </c>
      <c r="G132">
        <v>3.69</v>
      </c>
      <c r="I132" s="1">
        <f t="shared" ref="I132:I133" si="15">G132/109*9</f>
        <v>0.30467889908256879</v>
      </c>
      <c r="J132" t="s">
        <v>25</v>
      </c>
      <c r="K132" t="s">
        <v>210</v>
      </c>
    </row>
    <row r="133" spans="1:11" x14ac:dyDescent="0.3">
      <c r="A133">
        <v>20260218</v>
      </c>
      <c r="B133" t="s">
        <v>23</v>
      </c>
      <c r="C133" t="s">
        <v>11</v>
      </c>
      <c r="E133" t="s">
        <v>24</v>
      </c>
      <c r="F133" t="s">
        <v>14</v>
      </c>
      <c r="G133">
        <v>5.97</v>
      </c>
      <c r="I133" s="1">
        <f t="shared" si="15"/>
        <v>0.49293577981651376</v>
      </c>
      <c r="J133" t="s">
        <v>25</v>
      </c>
      <c r="K133" t="s">
        <v>211</v>
      </c>
    </row>
    <row r="134" spans="1:11" x14ac:dyDescent="0.3">
      <c r="A134">
        <v>20260218</v>
      </c>
      <c r="B134" t="s">
        <v>58</v>
      </c>
      <c r="C134" t="s">
        <v>11</v>
      </c>
      <c r="D134" t="s">
        <v>59</v>
      </c>
      <c r="E134" t="s">
        <v>30</v>
      </c>
      <c r="F134" t="s">
        <v>14</v>
      </c>
      <c r="G134">
        <v>728.95</v>
      </c>
      <c r="I134">
        <v>64.23</v>
      </c>
      <c r="J134" t="s">
        <v>31</v>
      </c>
      <c r="K134" t="s">
        <v>212</v>
      </c>
    </row>
    <row r="135" spans="1:11" x14ac:dyDescent="0.3">
      <c r="A135">
        <v>20260217</v>
      </c>
      <c r="B135" t="s">
        <v>17</v>
      </c>
      <c r="C135" t="s">
        <v>11</v>
      </c>
      <c r="D135" t="s">
        <v>18</v>
      </c>
      <c r="E135" t="s">
        <v>19</v>
      </c>
      <c r="F135" t="s">
        <v>20</v>
      </c>
      <c r="G135">
        <v>738.06</v>
      </c>
      <c r="J135" t="s">
        <v>21</v>
      </c>
      <c r="K135" t="s">
        <v>213</v>
      </c>
    </row>
    <row r="136" spans="1:11" x14ac:dyDescent="0.3">
      <c r="A136">
        <v>20260217</v>
      </c>
      <c r="B136" t="s">
        <v>23</v>
      </c>
      <c r="C136" t="s">
        <v>11</v>
      </c>
      <c r="E136" t="s">
        <v>24</v>
      </c>
      <c r="F136" t="s">
        <v>14</v>
      </c>
      <c r="G136">
        <v>33.270000000000003</v>
      </c>
      <c r="I136" s="1">
        <f t="shared" ref="I136:I137" si="16">G136/109*9</f>
        <v>2.7470642201834865</v>
      </c>
      <c r="J136" t="s">
        <v>25</v>
      </c>
      <c r="K136" t="s">
        <v>214</v>
      </c>
    </row>
    <row r="137" spans="1:11" x14ac:dyDescent="0.3">
      <c r="A137">
        <v>20260217</v>
      </c>
      <c r="B137" t="s">
        <v>23</v>
      </c>
      <c r="C137" t="s">
        <v>11</v>
      </c>
      <c r="E137" t="s">
        <v>24</v>
      </c>
      <c r="F137" t="s">
        <v>14</v>
      </c>
      <c r="G137">
        <v>8.35</v>
      </c>
      <c r="I137" s="1">
        <f t="shared" si="16"/>
        <v>0.68944954128440361</v>
      </c>
      <c r="J137" t="s">
        <v>25</v>
      </c>
      <c r="K137" t="s">
        <v>215</v>
      </c>
    </row>
    <row r="138" spans="1:11" x14ac:dyDescent="0.3">
      <c r="A138">
        <v>20260216</v>
      </c>
      <c r="B138" t="s">
        <v>17</v>
      </c>
      <c r="C138" t="s">
        <v>11</v>
      </c>
      <c r="D138" t="s">
        <v>18</v>
      </c>
      <c r="E138" t="s">
        <v>19</v>
      </c>
      <c r="F138" t="s">
        <v>20</v>
      </c>
      <c r="G138">
        <v>2874.62</v>
      </c>
      <c r="J138" t="s">
        <v>21</v>
      </c>
      <c r="K138" t="s">
        <v>216</v>
      </c>
    </row>
    <row r="139" spans="1:11" x14ac:dyDescent="0.3">
      <c r="A139">
        <v>20260216</v>
      </c>
      <c r="B139" t="s">
        <v>23</v>
      </c>
      <c r="C139" t="s">
        <v>11</v>
      </c>
      <c r="E139" t="s">
        <v>24</v>
      </c>
      <c r="F139" t="s">
        <v>14</v>
      </c>
      <c r="G139">
        <v>46.29</v>
      </c>
      <c r="I139" s="1">
        <f>G139/109*9</f>
        <v>3.8221100917431192</v>
      </c>
      <c r="J139" t="s">
        <v>25</v>
      </c>
      <c r="K139" t="s">
        <v>217</v>
      </c>
    </row>
    <row r="140" spans="1:11" x14ac:dyDescent="0.3">
      <c r="A140">
        <v>20260216</v>
      </c>
      <c r="B140" t="s">
        <v>88</v>
      </c>
      <c r="C140" t="s">
        <v>11</v>
      </c>
      <c r="D140" t="s">
        <v>89</v>
      </c>
      <c r="E140" t="s">
        <v>30</v>
      </c>
      <c r="F140" t="s">
        <v>14</v>
      </c>
      <c r="G140">
        <v>22.55</v>
      </c>
      <c r="J140" t="s">
        <v>31</v>
      </c>
      <c r="K140" t="s">
        <v>218</v>
      </c>
    </row>
    <row r="141" spans="1:11" x14ac:dyDescent="0.3">
      <c r="A141">
        <v>20260215</v>
      </c>
      <c r="B141" t="s">
        <v>23</v>
      </c>
      <c r="C141" t="s">
        <v>11</v>
      </c>
      <c r="E141" t="s">
        <v>24</v>
      </c>
      <c r="F141" t="s">
        <v>14</v>
      </c>
      <c r="G141">
        <v>49.46</v>
      </c>
      <c r="I141" s="1">
        <f t="shared" ref="I141:I142" si="17">G141/109*9</f>
        <v>4.083853211009175</v>
      </c>
      <c r="J141" t="s">
        <v>25</v>
      </c>
      <c r="K141" t="s">
        <v>219</v>
      </c>
    </row>
    <row r="142" spans="1:11" x14ac:dyDescent="0.3">
      <c r="A142">
        <v>20260214</v>
      </c>
      <c r="B142" t="s">
        <v>23</v>
      </c>
      <c r="C142" t="s">
        <v>11</v>
      </c>
      <c r="E142" t="s">
        <v>24</v>
      </c>
      <c r="F142" t="s">
        <v>14</v>
      </c>
      <c r="G142">
        <v>27.72</v>
      </c>
      <c r="I142" s="1">
        <f t="shared" si="17"/>
        <v>2.2888073394495412</v>
      </c>
      <c r="J142" t="s">
        <v>25</v>
      </c>
      <c r="K142" t="s">
        <v>220</v>
      </c>
    </row>
    <row r="143" spans="1:11" x14ac:dyDescent="0.3">
      <c r="A143">
        <v>20260213</v>
      </c>
      <c r="B143" t="s">
        <v>17</v>
      </c>
      <c r="C143" t="s">
        <v>11</v>
      </c>
      <c r="D143" t="s">
        <v>18</v>
      </c>
      <c r="E143" t="s">
        <v>19</v>
      </c>
      <c r="F143" t="s">
        <v>20</v>
      </c>
      <c r="G143">
        <v>667.41</v>
      </c>
      <c r="J143" t="s">
        <v>21</v>
      </c>
      <c r="K143" t="s">
        <v>221</v>
      </c>
    </row>
    <row r="144" spans="1:11" x14ac:dyDescent="0.3">
      <c r="A144">
        <v>20260213</v>
      </c>
      <c r="B144" t="s">
        <v>99</v>
      </c>
      <c r="C144" t="s">
        <v>11</v>
      </c>
      <c r="D144" t="s">
        <v>100</v>
      </c>
      <c r="E144" t="s">
        <v>65</v>
      </c>
      <c r="F144" t="s">
        <v>14</v>
      </c>
      <c r="G144">
        <v>6432</v>
      </c>
      <c r="J144" t="s">
        <v>66</v>
      </c>
      <c r="K144" t="s">
        <v>222</v>
      </c>
    </row>
    <row r="145" spans="1:11" x14ac:dyDescent="0.3">
      <c r="A145">
        <v>20260213</v>
      </c>
      <c r="B145" t="s">
        <v>23</v>
      </c>
      <c r="C145" t="s">
        <v>11</v>
      </c>
      <c r="E145" t="s">
        <v>24</v>
      </c>
      <c r="F145" t="s">
        <v>14</v>
      </c>
      <c r="G145">
        <v>41.85</v>
      </c>
      <c r="I145" s="1">
        <f>G145/109*9</f>
        <v>3.4555045871559633</v>
      </c>
      <c r="J145" t="s">
        <v>25</v>
      </c>
      <c r="K145" t="s">
        <v>223</v>
      </c>
    </row>
    <row r="146" spans="1:11" x14ac:dyDescent="0.3">
      <c r="A146">
        <v>20260213</v>
      </c>
      <c r="B146" t="s">
        <v>224</v>
      </c>
      <c r="C146" t="s">
        <v>11</v>
      </c>
      <c r="D146" t="s">
        <v>225</v>
      </c>
      <c r="E146" t="s">
        <v>226</v>
      </c>
      <c r="F146" t="s">
        <v>20</v>
      </c>
      <c r="G146">
        <v>5209</v>
      </c>
      <c r="J146" t="s">
        <v>227</v>
      </c>
      <c r="K146" t="s">
        <v>228</v>
      </c>
    </row>
    <row r="147" spans="1:11" x14ac:dyDescent="0.3">
      <c r="A147">
        <v>20260212</v>
      </c>
      <c r="B147" t="s">
        <v>17</v>
      </c>
      <c r="C147" t="s">
        <v>11</v>
      </c>
      <c r="D147" t="s">
        <v>18</v>
      </c>
      <c r="E147" t="s">
        <v>19</v>
      </c>
      <c r="F147" t="s">
        <v>20</v>
      </c>
      <c r="G147">
        <v>627.17999999999995</v>
      </c>
      <c r="J147" t="s">
        <v>21</v>
      </c>
      <c r="K147" t="s">
        <v>229</v>
      </c>
    </row>
    <row r="148" spans="1:11" x14ac:dyDescent="0.3">
      <c r="A148">
        <v>20260212</v>
      </c>
      <c r="B148" t="s">
        <v>23</v>
      </c>
      <c r="C148" t="s">
        <v>11</v>
      </c>
      <c r="E148" t="s">
        <v>24</v>
      </c>
      <c r="F148" t="s">
        <v>14</v>
      </c>
      <c r="G148">
        <v>29.32</v>
      </c>
      <c r="I148" s="1">
        <f>G148/109*9</f>
        <v>2.4209174311926609</v>
      </c>
      <c r="J148" t="s">
        <v>25</v>
      </c>
      <c r="K148" t="s">
        <v>230</v>
      </c>
    </row>
    <row r="149" spans="1:11" x14ac:dyDescent="0.3">
      <c r="A149">
        <v>20260212</v>
      </c>
      <c r="B149" t="s">
        <v>99</v>
      </c>
      <c r="C149" t="s">
        <v>11</v>
      </c>
      <c r="D149" t="s">
        <v>100</v>
      </c>
      <c r="E149" t="s">
        <v>65</v>
      </c>
      <c r="F149" t="s">
        <v>14</v>
      </c>
      <c r="G149">
        <v>1388</v>
      </c>
      <c r="J149" t="s">
        <v>66</v>
      </c>
      <c r="K149" t="s">
        <v>231</v>
      </c>
    </row>
    <row r="150" spans="1:11" x14ac:dyDescent="0.3">
      <c r="A150">
        <v>20260211</v>
      </c>
      <c r="B150" t="s">
        <v>17</v>
      </c>
      <c r="C150" t="s">
        <v>11</v>
      </c>
      <c r="D150" t="s">
        <v>18</v>
      </c>
      <c r="E150" t="s">
        <v>19</v>
      </c>
      <c r="F150" t="s">
        <v>20</v>
      </c>
      <c r="G150">
        <v>432.1</v>
      </c>
      <c r="J150" t="s">
        <v>21</v>
      </c>
      <c r="K150" t="s">
        <v>232</v>
      </c>
    </row>
    <row r="151" spans="1:11" x14ac:dyDescent="0.3">
      <c r="A151">
        <v>20260211</v>
      </c>
      <c r="B151" t="s">
        <v>23</v>
      </c>
      <c r="C151" t="s">
        <v>11</v>
      </c>
      <c r="E151" t="s">
        <v>24</v>
      </c>
      <c r="F151" t="s">
        <v>14</v>
      </c>
      <c r="G151">
        <v>6.9</v>
      </c>
      <c r="I151" s="1">
        <f>G151/109*9</f>
        <v>0.56972477064220184</v>
      </c>
      <c r="J151" t="s">
        <v>25</v>
      </c>
      <c r="K151" t="s">
        <v>233</v>
      </c>
    </row>
    <row r="152" spans="1:11" x14ac:dyDescent="0.3">
      <c r="A152">
        <v>20260211</v>
      </c>
      <c r="B152" t="s">
        <v>58</v>
      </c>
      <c r="C152" t="s">
        <v>11</v>
      </c>
      <c r="D152" t="s">
        <v>59</v>
      </c>
      <c r="E152" t="s">
        <v>30</v>
      </c>
      <c r="F152" t="s">
        <v>14</v>
      </c>
      <c r="G152">
        <v>814.07</v>
      </c>
      <c r="H152">
        <v>9.36</v>
      </c>
      <c r="I152">
        <v>58.72</v>
      </c>
      <c r="J152" t="s">
        <v>31</v>
      </c>
      <c r="K152" t="s">
        <v>234</v>
      </c>
    </row>
    <row r="153" spans="1:11" x14ac:dyDescent="0.3">
      <c r="A153">
        <v>20260210</v>
      </c>
      <c r="B153" t="s">
        <v>17</v>
      </c>
      <c r="C153" t="s">
        <v>11</v>
      </c>
      <c r="D153" t="s">
        <v>18</v>
      </c>
      <c r="E153" t="s">
        <v>19</v>
      </c>
      <c r="F153" t="s">
        <v>20</v>
      </c>
      <c r="G153">
        <v>439.74</v>
      </c>
      <c r="J153" t="s">
        <v>21</v>
      </c>
      <c r="K153" t="s">
        <v>235</v>
      </c>
    </row>
    <row r="154" spans="1:11" x14ac:dyDescent="0.3">
      <c r="A154">
        <v>20260210</v>
      </c>
      <c r="B154" t="s">
        <v>23</v>
      </c>
      <c r="C154" t="s">
        <v>11</v>
      </c>
      <c r="E154" t="s">
        <v>24</v>
      </c>
      <c r="F154" t="s">
        <v>14</v>
      </c>
      <c r="G154">
        <v>30.36</v>
      </c>
      <c r="I154" s="1">
        <f>G154/109*9</f>
        <v>2.506788990825688</v>
      </c>
      <c r="J154" t="s">
        <v>25</v>
      </c>
      <c r="K154" t="s">
        <v>236</v>
      </c>
    </row>
    <row r="155" spans="1:11" x14ac:dyDescent="0.3">
      <c r="A155">
        <v>20260209</v>
      </c>
      <c r="B155" t="s">
        <v>17</v>
      </c>
      <c r="C155" t="s">
        <v>11</v>
      </c>
      <c r="D155" t="s">
        <v>18</v>
      </c>
      <c r="E155" t="s">
        <v>19</v>
      </c>
      <c r="F155" t="s">
        <v>20</v>
      </c>
      <c r="G155">
        <v>3014.95</v>
      </c>
      <c r="J155" t="s">
        <v>21</v>
      </c>
      <c r="K155" t="s">
        <v>237</v>
      </c>
    </row>
    <row r="156" spans="1:11" x14ac:dyDescent="0.3">
      <c r="A156">
        <v>20260209</v>
      </c>
      <c r="B156" t="s">
        <v>23</v>
      </c>
      <c r="C156" t="s">
        <v>11</v>
      </c>
      <c r="E156" t="s">
        <v>24</v>
      </c>
      <c r="F156" t="s">
        <v>14</v>
      </c>
      <c r="G156">
        <v>36.549999999999997</v>
      </c>
      <c r="I156" s="1">
        <f t="shared" ref="I156:I157" si="18">G156/109*9</f>
        <v>3.0178899082568806</v>
      </c>
      <c r="J156" t="s">
        <v>25</v>
      </c>
      <c r="K156" t="s">
        <v>238</v>
      </c>
    </row>
    <row r="157" spans="1:11" x14ac:dyDescent="0.3">
      <c r="A157">
        <v>20260209</v>
      </c>
      <c r="B157" t="s">
        <v>23</v>
      </c>
      <c r="C157" t="s">
        <v>11</v>
      </c>
      <c r="E157" t="s">
        <v>24</v>
      </c>
      <c r="F157" t="s">
        <v>14</v>
      </c>
      <c r="G157">
        <v>5.94</v>
      </c>
      <c r="I157" s="1">
        <f t="shared" si="18"/>
        <v>0.49045871559633031</v>
      </c>
      <c r="J157" t="s">
        <v>25</v>
      </c>
      <c r="K157" t="s">
        <v>239</v>
      </c>
    </row>
    <row r="158" spans="1:11" x14ac:dyDescent="0.3">
      <c r="A158">
        <v>20260209</v>
      </c>
      <c r="B158" t="s">
        <v>119</v>
      </c>
      <c r="C158" t="s">
        <v>11</v>
      </c>
      <c r="D158" t="s">
        <v>120</v>
      </c>
      <c r="E158" t="s">
        <v>30</v>
      </c>
      <c r="F158" t="s">
        <v>14</v>
      </c>
      <c r="G158">
        <v>216.08</v>
      </c>
      <c r="H158" s="1">
        <f>G158/121*21</f>
        <v>37.50148760330579</v>
      </c>
      <c r="J158" t="s">
        <v>31</v>
      </c>
      <c r="K158" t="s">
        <v>240</v>
      </c>
    </row>
    <row r="159" spans="1:11" x14ac:dyDescent="0.3">
      <c r="A159">
        <v>20260208</v>
      </c>
      <c r="B159" t="s">
        <v>23</v>
      </c>
      <c r="C159" t="s">
        <v>11</v>
      </c>
      <c r="E159" t="s">
        <v>24</v>
      </c>
      <c r="F159" t="s">
        <v>14</v>
      </c>
      <c r="G159">
        <v>12.27</v>
      </c>
      <c r="I159" s="1">
        <f t="shared" ref="I159:I161" si="19">G159/109*9</f>
        <v>1.0131192660550459</v>
      </c>
      <c r="J159" t="s">
        <v>25</v>
      </c>
      <c r="K159" t="s">
        <v>241</v>
      </c>
    </row>
    <row r="160" spans="1:11" x14ac:dyDescent="0.3">
      <c r="A160">
        <v>20260208</v>
      </c>
      <c r="B160" t="s">
        <v>23</v>
      </c>
      <c r="C160" t="s">
        <v>11</v>
      </c>
      <c r="E160" t="s">
        <v>24</v>
      </c>
      <c r="F160" t="s">
        <v>14</v>
      </c>
      <c r="G160">
        <v>33.93</v>
      </c>
      <c r="I160" s="1">
        <f t="shared" si="19"/>
        <v>2.801559633027523</v>
      </c>
      <c r="J160" t="s">
        <v>25</v>
      </c>
      <c r="K160" t="s">
        <v>242</v>
      </c>
    </row>
    <row r="161" spans="1:11" x14ac:dyDescent="0.3">
      <c r="A161">
        <v>20260207</v>
      </c>
      <c r="B161" t="s">
        <v>23</v>
      </c>
      <c r="C161" t="s">
        <v>11</v>
      </c>
      <c r="E161" t="s">
        <v>24</v>
      </c>
      <c r="F161" t="s">
        <v>14</v>
      </c>
      <c r="G161">
        <v>20.079999999999998</v>
      </c>
      <c r="I161" s="1">
        <f t="shared" si="19"/>
        <v>1.6579816513761465</v>
      </c>
      <c r="J161" t="s">
        <v>25</v>
      </c>
      <c r="K161" t="s">
        <v>243</v>
      </c>
    </row>
    <row r="162" spans="1:11" x14ac:dyDescent="0.3">
      <c r="A162">
        <v>20260206</v>
      </c>
      <c r="B162" t="s">
        <v>17</v>
      </c>
      <c r="C162" t="s">
        <v>11</v>
      </c>
      <c r="D162" t="s">
        <v>18</v>
      </c>
      <c r="E162" t="s">
        <v>19</v>
      </c>
      <c r="F162" t="s">
        <v>20</v>
      </c>
      <c r="G162">
        <v>665.85</v>
      </c>
      <c r="J162" t="s">
        <v>21</v>
      </c>
      <c r="K162" t="s">
        <v>244</v>
      </c>
    </row>
    <row r="163" spans="1:11" x14ac:dyDescent="0.3">
      <c r="A163">
        <v>20260205</v>
      </c>
      <c r="B163" t="s">
        <v>17</v>
      </c>
      <c r="C163" t="s">
        <v>11</v>
      </c>
      <c r="D163" t="s">
        <v>18</v>
      </c>
      <c r="E163" t="s">
        <v>19</v>
      </c>
      <c r="F163" t="s">
        <v>20</v>
      </c>
      <c r="G163">
        <v>411.22</v>
      </c>
      <c r="J163" t="s">
        <v>21</v>
      </c>
      <c r="K163" t="s">
        <v>245</v>
      </c>
    </row>
    <row r="164" spans="1:11" x14ac:dyDescent="0.3">
      <c r="A164">
        <v>20260205</v>
      </c>
      <c r="B164" t="s">
        <v>246</v>
      </c>
      <c r="C164" t="s">
        <v>11</v>
      </c>
      <c r="D164" t="s">
        <v>247</v>
      </c>
      <c r="E164" t="s">
        <v>19</v>
      </c>
      <c r="F164" t="s">
        <v>20</v>
      </c>
      <c r="G164">
        <v>320</v>
      </c>
      <c r="J164" t="s">
        <v>21</v>
      </c>
      <c r="K164" t="s">
        <v>248</v>
      </c>
    </row>
    <row r="165" spans="1:11" x14ac:dyDescent="0.3">
      <c r="A165">
        <v>20260205</v>
      </c>
      <c r="B165" t="s">
        <v>52</v>
      </c>
      <c r="C165" t="s">
        <v>11</v>
      </c>
      <c r="D165" t="s">
        <v>53</v>
      </c>
      <c r="E165" t="s">
        <v>30</v>
      </c>
      <c r="F165" t="s">
        <v>14</v>
      </c>
      <c r="G165">
        <v>30.25</v>
      </c>
      <c r="H165" s="1">
        <f>G165/121*21</f>
        <v>5.25</v>
      </c>
      <c r="J165" t="s">
        <v>31</v>
      </c>
      <c r="K165" t="s">
        <v>249</v>
      </c>
    </row>
    <row r="166" spans="1:11" x14ac:dyDescent="0.3">
      <c r="A166">
        <v>20260204</v>
      </c>
      <c r="B166" t="s">
        <v>17</v>
      </c>
      <c r="C166" t="s">
        <v>11</v>
      </c>
      <c r="D166" t="s">
        <v>18</v>
      </c>
      <c r="E166" t="s">
        <v>19</v>
      </c>
      <c r="F166" t="s">
        <v>20</v>
      </c>
      <c r="G166">
        <v>525.58000000000004</v>
      </c>
      <c r="J166" t="s">
        <v>21</v>
      </c>
      <c r="K166" t="s">
        <v>250</v>
      </c>
    </row>
    <row r="167" spans="1:11" x14ac:dyDescent="0.3">
      <c r="A167">
        <v>20260204</v>
      </c>
      <c r="B167" t="s">
        <v>58</v>
      </c>
      <c r="C167" t="s">
        <v>11</v>
      </c>
      <c r="D167" t="s">
        <v>59</v>
      </c>
      <c r="E167" t="s">
        <v>30</v>
      </c>
      <c r="F167" t="s">
        <v>14</v>
      </c>
      <c r="G167">
        <v>797.07</v>
      </c>
      <c r="I167">
        <v>65.81</v>
      </c>
      <c r="J167" t="s">
        <v>31</v>
      </c>
      <c r="K167" t="s">
        <v>251</v>
      </c>
    </row>
    <row r="168" spans="1:11" x14ac:dyDescent="0.3">
      <c r="A168">
        <v>20260203</v>
      </c>
      <c r="B168" t="s">
        <v>17</v>
      </c>
      <c r="C168" t="s">
        <v>11</v>
      </c>
      <c r="D168" t="s">
        <v>18</v>
      </c>
      <c r="E168" t="s">
        <v>19</v>
      </c>
      <c r="F168" t="s">
        <v>20</v>
      </c>
      <c r="G168">
        <v>665.33</v>
      </c>
      <c r="J168" t="s">
        <v>21</v>
      </c>
      <c r="K168" t="s">
        <v>252</v>
      </c>
    </row>
    <row r="169" spans="1:11" x14ac:dyDescent="0.3">
      <c r="A169">
        <v>20260203</v>
      </c>
      <c r="B169" t="s">
        <v>23</v>
      </c>
      <c r="C169" t="s">
        <v>11</v>
      </c>
      <c r="E169" t="s">
        <v>24</v>
      </c>
      <c r="F169" t="s">
        <v>14</v>
      </c>
      <c r="G169">
        <v>27.72</v>
      </c>
      <c r="I169" s="1">
        <f>G169/109*9</f>
        <v>2.2888073394495412</v>
      </c>
      <c r="J169" t="s">
        <v>25</v>
      </c>
      <c r="K169" t="s">
        <v>253</v>
      </c>
    </row>
    <row r="170" spans="1:11" x14ac:dyDescent="0.3">
      <c r="A170">
        <v>20260202</v>
      </c>
      <c r="B170" t="s">
        <v>17</v>
      </c>
      <c r="C170" t="s">
        <v>11</v>
      </c>
      <c r="D170" t="s">
        <v>18</v>
      </c>
      <c r="E170" t="s">
        <v>19</v>
      </c>
      <c r="F170" t="s">
        <v>20</v>
      </c>
      <c r="G170">
        <v>2514.42</v>
      </c>
      <c r="J170" t="s">
        <v>21</v>
      </c>
      <c r="K170" t="s">
        <v>254</v>
      </c>
    </row>
    <row r="171" spans="1:11" x14ac:dyDescent="0.3">
      <c r="A171">
        <v>20260202</v>
      </c>
      <c r="B171" t="s">
        <v>255</v>
      </c>
      <c r="C171" t="s">
        <v>11</v>
      </c>
      <c r="D171" t="s">
        <v>256</v>
      </c>
      <c r="E171" t="s">
        <v>65</v>
      </c>
      <c r="F171" t="s">
        <v>14</v>
      </c>
      <c r="G171">
        <v>71.37</v>
      </c>
      <c r="J171" t="s">
        <v>66</v>
      </c>
      <c r="K171" t="s">
        <v>257</v>
      </c>
    </row>
    <row r="172" spans="1:11" x14ac:dyDescent="0.3">
      <c r="A172">
        <v>20260202</v>
      </c>
      <c r="B172" t="s">
        <v>170</v>
      </c>
      <c r="C172" t="s">
        <v>11</v>
      </c>
      <c r="D172" t="s">
        <v>171</v>
      </c>
      <c r="E172" t="s">
        <v>65</v>
      </c>
      <c r="F172" t="s">
        <v>14</v>
      </c>
      <c r="G172">
        <v>609.74</v>
      </c>
      <c r="J172" t="s">
        <v>66</v>
      </c>
      <c r="K172" t="s">
        <v>258</v>
      </c>
    </row>
    <row r="173" spans="1:11" x14ac:dyDescent="0.3">
      <c r="A173">
        <v>20260202</v>
      </c>
      <c r="B173" t="s">
        <v>173</v>
      </c>
      <c r="C173" t="s">
        <v>11</v>
      </c>
      <c r="D173" t="s">
        <v>174</v>
      </c>
      <c r="E173" t="s">
        <v>65</v>
      </c>
      <c r="F173" t="s">
        <v>14</v>
      </c>
      <c r="G173">
        <v>40.340000000000003</v>
      </c>
      <c r="J173" t="s">
        <v>66</v>
      </c>
      <c r="K173" t="s">
        <v>259</v>
      </c>
    </row>
    <row r="174" spans="1:11" x14ac:dyDescent="0.3">
      <c r="A174">
        <v>20260202</v>
      </c>
      <c r="B174" t="s">
        <v>260</v>
      </c>
      <c r="C174" t="s">
        <v>11</v>
      </c>
      <c r="D174" t="s">
        <v>261</v>
      </c>
      <c r="E174" t="s">
        <v>65</v>
      </c>
      <c r="F174" t="s">
        <v>14</v>
      </c>
      <c r="G174">
        <v>504.28</v>
      </c>
      <c r="J174" t="s">
        <v>66</v>
      </c>
      <c r="K174" t="s">
        <v>262</v>
      </c>
    </row>
    <row r="175" spans="1:11" x14ac:dyDescent="0.3">
      <c r="A175">
        <v>20260202</v>
      </c>
      <c r="B175" t="s">
        <v>149</v>
      </c>
      <c r="C175" t="s">
        <v>11</v>
      </c>
      <c r="D175" t="s">
        <v>150</v>
      </c>
      <c r="E175" t="s">
        <v>65</v>
      </c>
      <c r="F175" t="s">
        <v>14</v>
      </c>
      <c r="G175">
        <v>149.65</v>
      </c>
      <c r="J175" t="s">
        <v>66</v>
      </c>
      <c r="K175" t="s">
        <v>263</v>
      </c>
    </row>
    <row r="176" spans="1:11" x14ac:dyDescent="0.3">
      <c r="A176">
        <v>20260202</v>
      </c>
      <c r="B176" t="s">
        <v>146</v>
      </c>
      <c r="C176" t="s">
        <v>11</v>
      </c>
      <c r="D176" t="s">
        <v>147</v>
      </c>
      <c r="E176" t="s">
        <v>65</v>
      </c>
      <c r="F176" t="s">
        <v>14</v>
      </c>
      <c r="G176">
        <v>886.16</v>
      </c>
      <c r="J176" t="s">
        <v>66</v>
      </c>
      <c r="K176" t="s">
        <v>264</v>
      </c>
    </row>
    <row r="177" spans="1:11" x14ac:dyDescent="0.3">
      <c r="A177">
        <v>20260202</v>
      </c>
      <c r="B177" t="s">
        <v>164</v>
      </c>
      <c r="C177" t="s">
        <v>11</v>
      </c>
      <c r="D177" t="s">
        <v>165</v>
      </c>
      <c r="E177" t="s">
        <v>65</v>
      </c>
      <c r="F177" t="s">
        <v>14</v>
      </c>
      <c r="G177">
        <v>767.8</v>
      </c>
      <c r="J177" t="s">
        <v>66</v>
      </c>
      <c r="K177" t="s">
        <v>265</v>
      </c>
    </row>
    <row r="178" spans="1:11" x14ac:dyDescent="0.3">
      <c r="A178">
        <v>20260202</v>
      </c>
      <c r="B178" t="s">
        <v>155</v>
      </c>
      <c r="C178" t="s">
        <v>11</v>
      </c>
      <c r="D178" t="s">
        <v>156</v>
      </c>
      <c r="E178" t="s">
        <v>65</v>
      </c>
      <c r="F178" t="s">
        <v>14</v>
      </c>
      <c r="G178">
        <v>183.57</v>
      </c>
      <c r="J178" t="s">
        <v>66</v>
      </c>
      <c r="K178" t="s">
        <v>266</v>
      </c>
    </row>
    <row r="179" spans="1:11" x14ac:dyDescent="0.3">
      <c r="A179">
        <v>20260202</v>
      </c>
      <c r="B179" t="s">
        <v>158</v>
      </c>
      <c r="C179" t="s">
        <v>11</v>
      </c>
      <c r="D179" t="s">
        <v>159</v>
      </c>
      <c r="E179" t="s">
        <v>65</v>
      </c>
      <c r="F179" t="s">
        <v>14</v>
      </c>
      <c r="G179">
        <v>221.89</v>
      </c>
      <c r="J179" t="s">
        <v>66</v>
      </c>
      <c r="K179" t="s">
        <v>267</v>
      </c>
    </row>
    <row r="180" spans="1:11" x14ac:dyDescent="0.3">
      <c r="A180">
        <v>20260202</v>
      </c>
      <c r="B180" t="s">
        <v>167</v>
      </c>
      <c r="C180" t="s">
        <v>11</v>
      </c>
      <c r="D180" t="s">
        <v>168</v>
      </c>
      <c r="E180" t="s">
        <v>65</v>
      </c>
      <c r="F180" t="s">
        <v>14</v>
      </c>
      <c r="G180">
        <v>1437.48</v>
      </c>
      <c r="J180" t="s">
        <v>66</v>
      </c>
      <c r="K180" t="s">
        <v>268</v>
      </c>
    </row>
    <row r="181" spans="1:11" x14ac:dyDescent="0.3">
      <c r="A181">
        <v>20260202</v>
      </c>
      <c r="B181" t="s">
        <v>152</v>
      </c>
      <c r="C181" t="s">
        <v>11</v>
      </c>
      <c r="D181" t="s">
        <v>153</v>
      </c>
      <c r="E181" t="s">
        <v>65</v>
      </c>
      <c r="F181" t="s">
        <v>14</v>
      </c>
      <c r="G181">
        <v>581.32000000000005</v>
      </c>
      <c r="J181" t="s">
        <v>66</v>
      </c>
      <c r="K181" t="s">
        <v>269</v>
      </c>
    </row>
    <row r="182" spans="1:11" x14ac:dyDescent="0.3">
      <c r="A182">
        <v>20260202</v>
      </c>
      <c r="B182" t="s">
        <v>161</v>
      </c>
      <c r="C182" t="s">
        <v>11</v>
      </c>
      <c r="D182" t="s">
        <v>162</v>
      </c>
      <c r="E182" t="s">
        <v>65</v>
      </c>
      <c r="F182" t="s">
        <v>14</v>
      </c>
      <c r="G182">
        <v>259.01</v>
      </c>
      <c r="J182" t="s">
        <v>66</v>
      </c>
      <c r="K182" t="s">
        <v>270</v>
      </c>
    </row>
    <row r="183" spans="1:11" x14ac:dyDescent="0.3">
      <c r="A183">
        <v>20260202</v>
      </c>
      <c r="B183" t="s">
        <v>271</v>
      </c>
      <c r="C183" t="s">
        <v>11</v>
      </c>
      <c r="E183" t="s">
        <v>272</v>
      </c>
      <c r="F183" t="s">
        <v>20</v>
      </c>
      <c r="G183">
        <v>3880</v>
      </c>
      <c r="J183" t="s">
        <v>273</v>
      </c>
      <c r="K183" t="s">
        <v>274</v>
      </c>
    </row>
    <row r="184" spans="1:11" x14ac:dyDescent="0.3">
      <c r="A184">
        <v>20260202</v>
      </c>
      <c r="B184" t="s">
        <v>271</v>
      </c>
      <c r="C184" t="s">
        <v>11</v>
      </c>
      <c r="E184" t="s">
        <v>272</v>
      </c>
      <c r="F184" t="s">
        <v>20</v>
      </c>
      <c r="G184">
        <v>180</v>
      </c>
      <c r="J184" t="s">
        <v>273</v>
      </c>
      <c r="K184" t="s">
        <v>275</v>
      </c>
    </row>
    <row r="185" spans="1:11" x14ac:dyDescent="0.3">
      <c r="A185">
        <v>20260202</v>
      </c>
      <c r="B185" t="s">
        <v>23</v>
      </c>
      <c r="C185" t="s">
        <v>11</v>
      </c>
      <c r="E185" t="s">
        <v>24</v>
      </c>
      <c r="F185" t="s">
        <v>14</v>
      </c>
      <c r="G185">
        <v>8.89</v>
      </c>
      <c r="I185" s="1">
        <f t="shared" ref="I185:I188" si="20">G185/109*9</f>
        <v>0.73403669724770637</v>
      </c>
      <c r="J185" t="s">
        <v>25</v>
      </c>
      <c r="K185" t="s">
        <v>276</v>
      </c>
    </row>
    <row r="186" spans="1:11" x14ac:dyDescent="0.3">
      <c r="A186">
        <v>20260202</v>
      </c>
      <c r="B186" t="s">
        <v>23</v>
      </c>
      <c r="C186" t="s">
        <v>11</v>
      </c>
      <c r="E186" t="s">
        <v>24</v>
      </c>
      <c r="F186" t="s">
        <v>14</v>
      </c>
      <c r="G186">
        <v>34.369999999999997</v>
      </c>
      <c r="I186" s="1">
        <f t="shared" si="20"/>
        <v>2.8378899082568805</v>
      </c>
      <c r="J186" t="s">
        <v>25</v>
      </c>
      <c r="K186" t="s">
        <v>277</v>
      </c>
    </row>
    <row r="187" spans="1:11" x14ac:dyDescent="0.3">
      <c r="A187">
        <v>20260201</v>
      </c>
      <c r="B187" t="s">
        <v>23</v>
      </c>
      <c r="C187" t="s">
        <v>11</v>
      </c>
      <c r="E187" t="s">
        <v>24</v>
      </c>
      <c r="F187" t="s">
        <v>14</v>
      </c>
      <c r="G187">
        <v>40.14</v>
      </c>
      <c r="I187" s="1">
        <f t="shared" si="20"/>
        <v>3.3143119266055048</v>
      </c>
      <c r="J187" t="s">
        <v>25</v>
      </c>
      <c r="K187" t="s">
        <v>278</v>
      </c>
    </row>
    <row r="188" spans="1:11" x14ac:dyDescent="0.3">
      <c r="A188">
        <v>20260131</v>
      </c>
      <c r="B188" t="s">
        <v>23</v>
      </c>
      <c r="C188" t="s">
        <v>11</v>
      </c>
      <c r="E188" t="s">
        <v>24</v>
      </c>
      <c r="F188" t="s">
        <v>14</v>
      </c>
      <c r="G188">
        <v>37.68</v>
      </c>
      <c r="I188" s="1">
        <f t="shared" si="20"/>
        <v>3.1111926605504587</v>
      </c>
      <c r="J188" t="s">
        <v>25</v>
      </c>
      <c r="K188" t="s">
        <v>279</v>
      </c>
    </row>
    <row r="189" spans="1:11" x14ac:dyDescent="0.3">
      <c r="A189">
        <v>20260130</v>
      </c>
      <c r="B189" t="s">
        <v>10</v>
      </c>
      <c r="C189" t="s">
        <v>11</v>
      </c>
      <c r="D189" t="s">
        <v>12</v>
      </c>
      <c r="E189" t="s">
        <v>13</v>
      </c>
      <c r="F189" t="s">
        <v>14</v>
      </c>
      <c r="G189">
        <v>100</v>
      </c>
      <c r="H189" s="1">
        <f>G189/121*21</f>
        <v>17.355371900826448</v>
      </c>
      <c r="J189" t="s">
        <v>15</v>
      </c>
      <c r="K189" t="s">
        <v>280</v>
      </c>
    </row>
    <row r="190" spans="1:11" x14ac:dyDescent="0.3">
      <c r="A190">
        <v>20260130</v>
      </c>
      <c r="B190" t="s">
        <v>17</v>
      </c>
      <c r="C190" t="s">
        <v>11</v>
      </c>
      <c r="D190" t="s">
        <v>18</v>
      </c>
      <c r="E190" t="s">
        <v>19</v>
      </c>
      <c r="F190" t="s">
        <v>20</v>
      </c>
      <c r="G190">
        <v>494.52</v>
      </c>
      <c r="J190" t="s">
        <v>21</v>
      </c>
      <c r="K190" t="s">
        <v>281</v>
      </c>
    </row>
    <row r="191" spans="1:11" x14ac:dyDescent="0.3">
      <c r="A191">
        <v>20260130</v>
      </c>
      <c r="B191" t="s">
        <v>23</v>
      </c>
      <c r="C191" t="s">
        <v>11</v>
      </c>
      <c r="E191" t="s">
        <v>24</v>
      </c>
      <c r="F191" t="s">
        <v>14</v>
      </c>
      <c r="G191">
        <v>13.85</v>
      </c>
      <c r="I191" s="1">
        <f t="shared" ref="I191:I192" si="21">G191/109*9</f>
        <v>1.143577981651376</v>
      </c>
      <c r="J191" t="s">
        <v>25</v>
      </c>
      <c r="K191" t="s">
        <v>282</v>
      </c>
    </row>
    <row r="192" spans="1:11" x14ac:dyDescent="0.3">
      <c r="A192">
        <v>20260130</v>
      </c>
      <c r="B192" t="s">
        <v>23</v>
      </c>
      <c r="C192" t="s">
        <v>11</v>
      </c>
      <c r="E192" t="s">
        <v>24</v>
      </c>
      <c r="F192" t="s">
        <v>14</v>
      </c>
      <c r="G192">
        <v>5.67</v>
      </c>
      <c r="I192" s="1">
        <f t="shared" si="21"/>
        <v>0.46816513761467893</v>
      </c>
      <c r="J192" t="s">
        <v>25</v>
      </c>
      <c r="K192" t="s">
        <v>283</v>
      </c>
    </row>
    <row r="193" spans="1:11" x14ac:dyDescent="0.3">
      <c r="A193">
        <v>20260130</v>
      </c>
      <c r="B193" t="s">
        <v>28</v>
      </c>
      <c r="C193" t="s">
        <v>11</v>
      </c>
      <c r="D193" t="s">
        <v>29</v>
      </c>
      <c r="E193" t="s">
        <v>30</v>
      </c>
      <c r="F193" t="s">
        <v>14</v>
      </c>
      <c r="G193">
        <v>497.47</v>
      </c>
      <c r="J193" t="s">
        <v>31</v>
      </c>
      <c r="K193" t="s">
        <v>284</v>
      </c>
    </row>
    <row r="194" spans="1:11" x14ac:dyDescent="0.3">
      <c r="A194">
        <v>20260129</v>
      </c>
      <c r="B194" t="s">
        <v>17</v>
      </c>
      <c r="C194" t="s">
        <v>11</v>
      </c>
      <c r="D194" t="s">
        <v>18</v>
      </c>
      <c r="E194" t="s">
        <v>19</v>
      </c>
      <c r="F194" t="s">
        <v>20</v>
      </c>
      <c r="G194">
        <v>439.39</v>
      </c>
      <c r="J194" t="s">
        <v>21</v>
      </c>
      <c r="K194" t="s">
        <v>285</v>
      </c>
    </row>
    <row r="195" spans="1:11" x14ac:dyDescent="0.3">
      <c r="A195">
        <v>20260129</v>
      </c>
      <c r="B195" t="s">
        <v>23</v>
      </c>
      <c r="C195" t="s">
        <v>11</v>
      </c>
      <c r="E195" t="s">
        <v>24</v>
      </c>
      <c r="F195" t="s">
        <v>14</v>
      </c>
      <c r="G195">
        <v>19.350000000000001</v>
      </c>
      <c r="I195" s="1">
        <f t="shared" ref="I195:I196" si="22">G195/109*9</f>
        <v>1.5977064220183488</v>
      </c>
      <c r="J195" t="s">
        <v>25</v>
      </c>
      <c r="K195" t="s">
        <v>286</v>
      </c>
    </row>
    <row r="196" spans="1:11" x14ac:dyDescent="0.3">
      <c r="A196">
        <v>20260129</v>
      </c>
      <c r="B196" t="s">
        <v>287</v>
      </c>
      <c r="C196" t="s">
        <v>11</v>
      </c>
      <c r="D196" t="s">
        <v>97</v>
      </c>
      <c r="E196" t="s">
        <v>13</v>
      </c>
      <c r="F196" t="s">
        <v>14</v>
      </c>
      <c r="G196">
        <v>1016.41</v>
      </c>
      <c r="I196" s="1">
        <f t="shared" si="22"/>
        <v>83.923761467889904</v>
      </c>
      <c r="J196" t="s">
        <v>15</v>
      </c>
      <c r="K196" t="s">
        <v>288</v>
      </c>
    </row>
    <row r="197" spans="1:11" x14ac:dyDescent="0.3">
      <c r="A197">
        <v>20260128</v>
      </c>
      <c r="B197" t="s">
        <v>17</v>
      </c>
      <c r="C197" t="s">
        <v>11</v>
      </c>
      <c r="D197" t="s">
        <v>18</v>
      </c>
      <c r="E197" t="s">
        <v>19</v>
      </c>
      <c r="F197" t="s">
        <v>20</v>
      </c>
      <c r="G197">
        <v>422.33</v>
      </c>
      <c r="J197" t="s">
        <v>21</v>
      </c>
      <c r="K197" t="s">
        <v>289</v>
      </c>
    </row>
    <row r="198" spans="1:11" x14ac:dyDescent="0.3">
      <c r="A198">
        <v>20260128</v>
      </c>
      <c r="B198" t="s">
        <v>23</v>
      </c>
      <c r="C198" t="s">
        <v>11</v>
      </c>
      <c r="E198" t="s">
        <v>24</v>
      </c>
      <c r="F198" t="s">
        <v>14</v>
      </c>
      <c r="G198">
        <v>11.88</v>
      </c>
      <c r="I198" s="1">
        <f t="shared" ref="I198" si="23">G198/109*9</f>
        <v>0.98091743119266062</v>
      </c>
      <c r="J198" t="s">
        <v>25</v>
      </c>
      <c r="K198" t="s">
        <v>290</v>
      </c>
    </row>
    <row r="199" spans="1:11" x14ac:dyDescent="0.3">
      <c r="A199">
        <v>20260128</v>
      </c>
      <c r="B199" t="s">
        <v>58</v>
      </c>
      <c r="C199" t="s">
        <v>11</v>
      </c>
      <c r="D199" t="s">
        <v>59</v>
      </c>
      <c r="E199" t="s">
        <v>30</v>
      </c>
      <c r="F199" t="s">
        <v>14</v>
      </c>
      <c r="G199">
        <v>677.92</v>
      </c>
      <c r="H199">
        <v>7.9</v>
      </c>
      <c r="I199">
        <v>52.22</v>
      </c>
      <c r="J199" t="s">
        <v>31</v>
      </c>
      <c r="K199" t="s">
        <v>291</v>
      </c>
    </row>
    <row r="200" spans="1:11" x14ac:dyDescent="0.3">
      <c r="A200">
        <v>20260127</v>
      </c>
      <c r="B200" t="s">
        <v>83</v>
      </c>
      <c r="C200" t="s">
        <v>11</v>
      </c>
      <c r="D200" t="s">
        <v>84</v>
      </c>
      <c r="E200" t="s">
        <v>13</v>
      </c>
      <c r="F200" t="s">
        <v>14</v>
      </c>
      <c r="G200">
        <v>1021.45</v>
      </c>
      <c r="H200" s="1">
        <f>G200/121*21</f>
        <v>177.27644628099173</v>
      </c>
      <c r="J200" t="s">
        <v>15</v>
      </c>
      <c r="K200" t="s">
        <v>292</v>
      </c>
    </row>
    <row r="201" spans="1:11" x14ac:dyDescent="0.3">
      <c r="A201">
        <v>20260127</v>
      </c>
      <c r="B201" t="s">
        <v>17</v>
      </c>
      <c r="C201" t="s">
        <v>11</v>
      </c>
      <c r="D201" t="s">
        <v>18</v>
      </c>
      <c r="E201" t="s">
        <v>19</v>
      </c>
      <c r="F201" t="s">
        <v>20</v>
      </c>
      <c r="G201">
        <v>528.75</v>
      </c>
      <c r="J201" t="s">
        <v>21</v>
      </c>
      <c r="K201" t="s">
        <v>293</v>
      </c>
    </row>
    <row r="202" spans="1:11" x14ac:dyDescent="0.3">
      <c r="A202">
        <v>20260127</v>
      </c>
      <c r="B202" t="s">
        <v>23</v>
      </c>
      <c r="C202" t="s">
        <v>11</v>
      </c>
      <c r="E202" t="s">
        <v>24</v>
      </c>
      <c r="F202" t="s">
        <v>14</v>
      </c>
      <c r="G202">
        <v>27.8</v>
      </c>
      <c r="I202" s="1">
        <f t="shared" ref="I202" si="24">G202/109*9</f>
        <v>2.2954128440366972</v>
      </c>
      <c r="J202" t="s">
        <v>25</v>
      </c>
      <c r="K202" t="s">
        <v>294</v>
      </c>
    </row>
    <row r="203" spans="1:11" x14ac:dyDescent="0.3">
      <c r="A203">
        <v>20260127</v>
      </c>
      <c r="B203" t="s">
        <v>52</v>
      </c>
      <c r="C203" t="s">
        <v>11</v>
      </c>
      <c r="D203" t="s">
        <v>53</v>
      </c>
      <c r="E203" t="s">
        <v>30</v>
      </c>
      <c r="F203" t="s">
        <v>14</v>
      </c>
      <c r="G203">
        <v>54.7</v>
      </c>
      <c r="H203" s="1">
        <f>G203/121*21</f>
        <v>9.4933884297520663</v>
      </c>
      <c r="J203" t="s">
        <v>31</v>
      </c>
      <c r="K203" t="s">
        <v>295</v>
      </c>
    </row>
    <row r="204" spans="1:11" x14ac:dyDescent="0.3">
      <c r="A204">
        <v>20260126</v>
      </c>
      <c r="B204" t="s">
        <v>17</v>
      </c>
      <c r="C204" t="s">
        <v>11</v>
      </c>
      <c r="D204" t="s">
        <v>18</v>
      </c>
      <c r="E204" t="s">
        <v>19</v>
      </c>
      <c r="F204" t="s">
        <v>20</v>
      </c>
      <c r="G204">
        <v>2878.79</v>
      </c>
      <c r="J204" t="s">
        <v>21</v>
      </c>
      <c r="K204" t="s">
        <v>296</v>
      </c>
    </row>
    <row r="205" spans="1:11" x14ac:dyDescent="0.3">
      <c r="A205">
        <v>20260126</v>
      </c>
      <c r="B205" t="s">
        <v>23</v>
      </c>
      <c r="C205" t="s">
        <v>11</v>
      </c>
      <c r="E205" t="s">
        <v>24</v>
      </c>
      <c r="F205" t="s">
        <v>14</v>
      </c>
      <c r="G205">
        <v>37.31</v>
      </c>
      <c r="I205" s="1">
        <f t="shared" ref="I205" si="25">G205/109*9</f>
        <v>3.0806422018348627</v>
      </c>
      <c r="J205" t="s">
        <v>25</v>
      </c>
      <c r="K205" t="s">
        <v>297</v>
      </c>
    </row>
    <row r="206" spans="1:11" x14ac:dyDescent="0.3">
      <c r="A206">
        <v>20260126</v>
      </c>
      <c r="B206" t="s">
        <v>298</v>
      </c>
      <c r="C206" t="s">
        <v>11</v>
      </c>
      <c r="D206" t="s">
        <v>64</v>
      </c>
      <c r="E206" t="s">
        <v>65</v>
      </c>
      <c r="F206" t="s">
        <v>14</v>
      </c>
      <c r="G206">
        <v>4986.76</v>
      </c>
      <c r="H206" s="1">
        <f>G206/121*21</f>
        <v>865.47074380165293</v>
      </c>
      <c r="J206" t="s">
        <v>66</v>
      </c>
      <c r="K206" t="s">
        <v>299</v>
      </c>
    </row>
    <row r="207" spans="1:11" x14ac:dyDescent="0.3">
      <c r="A207">
        <v>20260126</v>
      </c>
      <c r="B207" t="s">
        <v>43</v>
      </c>
      <c r="C207" t="s">
        <v>11</v>
      </c>
      <c r="E207" t="s">
        <v>44</v>
      </c>
      <c r="F207" t="s">
        <v>14</v>
      </c>
      <c r="G207">
        <v>99.9</v>
      </c>
      <c r="J207" t="s">
        <v>45</v>
      </c>
      <c r="K207" t="s">
        <v>300</v>
      </c>
    </row>
    <row r="208" spans="1:11" x14ac:dyDescent="0.3">
      <c r="A208">
        <v>20260125</v>
      </c>
      <c r="B208" t="s">
        <v>23</v>
      </c>
      <c r="C208" t="s">
        <v>11</v>
      </c>
      <c r="E208" t="s">
        <v>24</v>
      </c>
      <c r="F208" t="s">
        <v>14</v>
      </c>
      <c r="G208">
        <v>14.79</v>
      </c>
      <c r="I208" s="1">
        <f t="shared" ref="I208:I210" si="26">G208/109*9</f>
        <v>1.2211926605504586</v>
      </c>
      <c r="J208" t="s">
        <v>25</v>
      </c>
      <c r="K208" t="s">
        <v>301</v>
      </c>
    </row>
    <row r="209" spans="1:11" x14ac:dyDescent="0.3">
      <c r="A209">
        <v>20260125</v>
      </c>
      <c r="B209" t="s">
        <v>23</v>
      </c>
      <c r="C209" t="s">
        <v>11</v>
      </c>
      <c r="E209" t="s">
        <v>24</v>
      </c>
      <c r="F209" t="s">
        <v>14</v>
      </c>
      <c r="G209">
        <v>26.22</v>
      </c>
      <c r="I209" s="1">
        <f t="shared" si="26"/>
        <v>2.1649541284403671</v>
      </c>
      <c r="J209" t="s">
        <v>25</v>
      </c>
      <c r="K209" t="s">
        <v>302</v>
      </c>
    </row>
    <row r="210" spans="1:11" x14ac:dyDescent="0.3">
      <c r="A210">
        <v>20260124</v>
      </c>
      <c r="B210" t="s">
        <v>23</v>
      </c>
      <c r="C210" t="s">
        <v>11</v>
      </c>
      <c r="E210" t="s">
        <v>24</v>
      </c>
      <c r="F210" t="s">
        <v>14</v>
      </c>
      <c r="G210">
        <v>33.549999999999997</v>
      </c>
      <c r="I210" s="1">
        <f t="shared" si="26"/>
        <v>2.7701834862385319</v>
      </c>
      <c r="J210" t="s">
        <v>25</v>
      </c>
      <c r="K210" t="s">
        <v>303</v>
      </c>
    </row>
    <row r="211" spans="1:11" x14ac:dyDescent="0.3">
      <c r="A211">
        <v>20260123</v>
      </c>
      <c r="B211" t="s">
        <v>17</v>
      </c>
      <c r="C211" t="s">
        <v>11</v>
      </c>
      <c r="D211" t="s">
        <v>18</v>
      </c>
      <c r="E211" t="s">
        <v>19</v>
      </c>
      <c r="F211" t="s">
        <v>20</v>
      </c>
      <c r="G211">
        <v>682.53</v>
      </c>
      <c r="J211" t="s">
        <v>21</v>
      </c>
      <c r="K211" t="s">
        <v>304</v>
      </c>
    </row>
    <row r="212" spans="1:11" x14ac:dyDescent="0.3">
      <c r="A212">
        <v>20260123</v>
      </c>
      <c r="B212" t="s">
        <v>23</v>
      </c>
      <c r="C212" t="s">
        <v>11</v>
      </c>
      <c r="E212" t="s">
        <v>24</v>
      </c>
      <c r="F212" t="s">
        <v>14</v>
      </c>
      <c r="G212">
        <v>45.24</v>
      </c>
      <c r="I212" s="1">
        <f t="shared" ref="I212" si="27">G212/109*9</f>
        <v>3.7354128440366976</v>
      </c>
      <c r="J212" t="s">
        <v>25</v>
      </c>
      <c r="K212" t="s">
        <v>305</v>
      </c>
    </row>
    <row r="213" spans="1:11" x14ac:dyDescent="0.3">
      <c r="A213">
        <v>20260122</v>
      </c>
      <c r="B213" t="s">
        <v>17</v>
      </c>
      <c r="C213" t="s">
        <v>11</v>
      </c>
      <c r="D213" t="s">
        <v>18</v>
      </c>
      <c r="E213" t="s">
        <v>19</v>
      </c>
      <c r="F213" t="s">
        <v>20</v>
      </c>
      <c r="G213">
        <v>526.04</v>
      </c>
      <c r="J213" t="s">
        <v>21</v>
      </c>
      <c r="K213" t="s">
        <v>306</v>
      </c>
    </row>
    <row r="214" spans="1:11" x14ac:dyDescent="0.3">
      <c r="A214">
        <v>20260122</v>
      </c>
      <c r="B214" t="s">
        <v>23</v>
      </c>
      <c r="C214" t="s">
        <v>11</v>
      </c>
      <c r="E214" t="s">
        <v>24</v>
      </c>
      <c r="F214" t="s">
        <v>14</v>
      </c>
      <c r="G214">
        <v>20.91</v>
      </c>
      <c r="I214" s="1">
        <f t="shared" ref="I214" si="28">G214/109*9</f>
        <v>1.7265137614678898</v>
      </c>
      <c r="J214" t="s">
        <v>25</v>
      </c>
      <c r="K214" t="s">
        <v>307</v>
      </c>
    </row>
    <row r="215" spans="1:11" x14ac:dyDescent="0.3">
      <c r="A215">
        <v>20260122</v>
      </c>
      <c r="B215" t="s">
        <v>308</v>
      </c>
      <c r="C215" t="s">
        <v>11</v>
      </c>
      <c r="D215" t="s">
        <v>12</v>
      </c>
      <c r="E215" t="s">
        <v>13</v>
      </c>
      <c r="F215" t="s">
        <v>14</v>
      </c>
      <c r="G215">
        <v>4.38</v>
      </c>
      <c r="I215" s="1">
        <f>G215/109*9</f>
        <v>0.36165137614678899</v>
      </c>
      <c r="J215" t="s">
        <v>15</v>
      </c>
      <c r="K215" t="s">
        <v>309</v>
      </c>
    </row>
    <row r="216" spans="1:11" x14ac:dyDescent="0.3">
      <c r="A216">
        <v>20260121</v>
      </c>
      <c r="B216" t="s">
        <v>17</v>
      </c>
      <c r="C216" t="s">
        <v>11</v>
      </c>
      <c r="D216" t="s">
        <v>18</v>
      </c>
      <c r="E216" t="s">
        <v>19</v>
      </c>
      <c r="F216" t="s">
        <v>20</v>
      </c>
      <c r="G216">
        <v>546.99</v>
      </c>
      <c r="J216" t="s">
        <v>21</v>
      </c>
      <c r="K216" t="s">
        <v>310</v>
      </c>
    </row>
    <row r="217" spans="1:11" x14ac:dyDescent="0.3">
      <c r="A217">
        <v>20260121</v>
      </c>
      <c r="B217" t="s">
        <v>23</v>
      </c>
      <c r="C217" t="s">
        <v>11</v>
      </c>
      <c r="E217" t="s">
        <v>24</v>
      </c>
      <c r="F217" t="s">
        <v>14</v>
      </c>
      <c r="G217">
        <v>7.74</v>
      </c>
      <c r="I217" s="1">
        <f t="shared" ref="I217" si="29">G217/109*9</f>
        <v>0.63908256880733938</v>
      </c>
      <c r="J217" t="s">
        <v>25</v>
      </c>
      <c r="K217" t="s">
        <v>311</v>
      </c>
    </row>
    <row r="218" spans="1:11" x14ac:dyDescent="0.3">
      <c r="A218">
        <v>20260121</v>
      </c>
      <c r="B218" t="s">
        <v>312</v>
      </c>
      <c r="C218" t="s">
        <v>11</v>
      </c>
      <c r="E218" t="s">
        <v>24</v>
      </c>
      <c r="F218" t="s">
        <v>14</v>
      </c>
      <c r="G218">
        <v>221.82</v>
      </c>
      <c r="I218">
        <v>18.32</v>
      </c>
      <c r="J218" t="s">
        <v>25</v>
      </c>
      <c r="K218" t="s">
        <v>313</v>
      </c>
    </row>
    <row r="219" spans="1:11" x14ac:dyDescent="0.3">
      <c r="A219">
        <v>20260121</v>
      </c>
      <c r="B219" t="s">
        <v>58</v>
      </c>
      <c r="C219" t="s">
        <v>11</v>
      </c>
      <c r="D219" t="s">
        <v>59</v>
      </c>
      <c r="E219" t="s">
        <v>30</v>
      </c>
      <c r="F219" t="s">
        <v>14</v>
      </c>
      <c r="G219">
        <v>499.02</v>
      </c>
      <c r="H219">
        <v>12.63</v>
      </c>
      <c r="I219">
        <v>35.200000000000003</v>
      </c>
      <c r="J219" t="s">
        <v>31</v>
      </c>
      <c r="K219" t="s">
        <v>314</v>
      </c>
    </row>
    <row r="220" spans="1:11" x14ac:dyDescent="0.3">
      <c r="A220">
        <v>20260120</v>
      </c>
      <c r="B220" t="s">
        <v>17</v>
      </c>
      <c r="C220" t="s">
        <v>11</v>
      </c>
      <c r="D220" t="s">
        <v>18</v>
      </c>
      <c r="E220" t="s">
        <v>19</v>
      </c>
      <c r="F220" t="s">
        <v>20</v>
      </c>
      <c r="G220">
        <v>362.72</v>
      </c>
      <c r="J220" t="s">
        <v>21</v>
      </c>
      <c r="K220" t="s">
        <v>315</v>
      </c>
    </row>
    <row r="221" spans="1:11" x14ac:dyDescent="0.3">
      <c r="A221">
        <v>20260120</v>
      </c>
      <c r="B221" t="s">
        <v>23</v>
      </c>
      <c r="C221" t="s">
        <v>11</v>
      </c>
      <c r="E221" t="s">
        <v>24</v>
      </c>
      <c r="F221" t="s">
        <v>14</v>
      </c>
      <c r="G221">
        <v>38.58</v>
      </c>
      <c r="I221" s="1">
        <f t="shared" ref="I221" si="30">G221/109*9</f>
        <v>3.1855045871559633</v>
      </c>
      <c r="J221" t="s">
        <v>25</v>
      </c>
      <c r="K221" t="s">
        <v>316</v>
      </c>
    </row>
    <row r="222" spans="1:11" x14ac:dyDescent="0.3">
      <c r="A222">
        <v>20260120</v>
      </c>
      <c r="B222" t="s">
        <v>317</v>
      </c>
      <c r="C222" t="s">
        <v>11</v>
      </c>
      <c r="E222" t="s">
        <v>24</v>
      </c>
      <c r="F222" t="s">
        <v>14</v>
      </c>
      <c r="G222">
        <v>6.2</v>
      </c>
      <c r="H222" s="1">
        <f>G222/121*21</f>
        <v>1.0760330578512396</v>
      </c>
      <c r="J222" t="s">
        <v>25</v>
      </c>
      <c r="K222" t="s">
        <v>318</v>
      </c>
    </row>
    <row r="223" spans="1:11" x14ac:dyDescent="0.3">
      <c r="A223">
        <v>20260119</v>
      </c>
      <c r="B223" t="s">
        <v>17</v>
      </c>
      <c r="C223" t="s">
        <v>11</v>
      </c>
      <c r="D223" t="s">
        <v>18</v>
      </c>
      <c r="E223" t="s">
        <v>19</v>
      </c>
      <c r="F223" t="s">
        <v>20</v>
      </c>
      <c r="G223">
        <v>2457.9</v>
      </c>
      <c r="J223" t="s">
        <v>21</v>
      </c>
      <c r="K223" t="s">
        <v>319</v>
      </c>
    </row>
    <row r="224" spans="1:11" x14ac:dyDescent="0.3">
      <c r="A224">
        <v>20260119</v>
      </c>
      <c r="B224" t="s">
        <v>23</v>
      </c>
      <c r="C224" t="s">
        <v>11</v>
      </c>
      <c r="E224" t="s">
        <v>24</v>
      </c>
      <c r="F224" t="s">
        <v>14</v>
      </c>
      <c r="G224">
        <v>4.45</v>
      </c>
      <c r="I224" s="1">
        <f t="shared" ref="I224:I225" si="31">G224/109*9</f>
        <v>0.36743119266055047</v>
      </c>
      <c r="J224" t="s">
        <v>25</v>
      </c>
      <c r="K224" t="s">
        <v>320</v>
      </c>
    </row>
    <row r="225" spans="1:11" x14ac:dyDescent="0.3">
      <c r="A225">
        <v>20260119</v>
      </c>
      <c r="B225" t="s">
        <v>23</v>
      </c>
      <c r="C225" t="s">
        <v>11</v>
      </c>
      <c r="E225" t="s">
        <v>24</v>
      </c>
      <c r="F225" t="s">
        <v>14</v>
      </c>
      <c r="G225">
        <v>24.93</v>
      </c>
      <c r="I225" s="1">
        <f t="shared" si="31"/>
        <v>2.0584403669724769</v>
      </c>
      <c r="J225" t="s">
        <v>25</v>
      </c>
      <c r="K225" t="s">
        <v>321</v>
      </c>
    </row>
    <row r="226" spans="1:11" x14ac:dyDescent="0.3">
      <c r="A226">
        <v>20260119</v>
      </c>
      <c r="B226" t="s">
        <v>105</v>
      </c>
      <c r="C226" t="s">
        <v>11</v>
      </c>
      <c r="D226" t="s">
        <v>106</v>
      </c>
      <c r="E226" t="s">
        <v>322</v>
      </c>
      <c r="F226" t="s">
        <v>14</v>
      </c>
      <c r="G226">
        <v>111.02</v>
      </c>
      <c r="H226" s="1">
        <f>G226/121*21</f>
        <v>19.26793388429752</v>
      </c>
      <c r="J226" t="s">
        <v>323</v>
      </c>
      <c r="K226" t="s">
        <v>324</v>
      </c>
    </row>
    <row r="227" spans="1:11" x14ac:dyDescent="0.3">
      <c r="A227">
        <v>20260118</v>
      </c>
      <c r="B227" t="s">
        <v>325</v>
      </c>
      <c r="C227" t="s">
        <v>11</v>
      </c>
      <c r="D227" t="s">
        <v>326</v>
      </c>
      <c r="E227" t="s">
        <v>65</v>
      </c>
      <c r="F227" t="s">
        <v>14</v>
      </c>
      <c r="G227">
        <v>38.9</v>
      </c>
      <c r="H227" s="1">
        <f>G227/121*21</f>
        <v>6.751239669421488</v>
      </c>
      <c r="J227" t="s">
        <v>66</v>
      </c>
      <c r="K227" t="s">
        <v>327</v>
      </c>
    </row>
    <row r="228" spans="1:11" x14ac:dyDescent="0.3">
      <c r="A228">
        <v>20260118</v>
      </c>
      <c r="B228" t="s">
        <v>23</v>
      </c>
      <c r="C228" t="s">
        <v>11</v>
      </c>
      <c r="E228" t="s">
        <v>24</v>
      </c>
      <c r="F228" t="s">
        <v>14</v>
      </c>
      <c r="G228">
        <v>18.78</v>
      </c>
      <c r="I228" s="1">
        <f t="shared" ref="I228" si="32">G228/109*9</f>
        <v>1.5506422018348625</v>
      </c>
      <c r="J228" t="s">
        <v>25</v>
      </c>
      <c r="K228" t="s">
        <v>328</v>
      </c>
    </row>
    <row r="229" spans="1:11" x14ac:dyDescent="0.3">
      <c r="A229">
        <v>20260118</v>
      </c>
      <c r="B229" t="s">
        <v>325</v>
      </c>
      <c r="C229" t="s">
        <v>11</v>
      </c>
      <c r="D229" t="s">
        <v>326</v>
      </c>
      <c r="E229" t="s">
        <v>65</v>
      </c>
      <c r="F229" t="s">
        <v>14</v>
      </c>
      <c r="G229">
        <v>40.75</v>
      </c>
      <c r="H229" s="1">
        <f>G229/121*21</f>
        <v>7.0723140495867769</v>
      </c>
      <c r="J229" t="s">
        <v>66</v>
      </c>
      <c r="K229" t="s">
        <v>329</v>
      </c>
    </row>
    <row r="230" spans="1:11" x14ac:dyDescent="0.3">
      <c r="A230">
        <v>20260118</v>
      </c>
      <c r="B230" t="s">
        <v>10</v>
      </c>
      <c r="C230" t="s">
        <v>11</v>
      </c>
      <c r="D230" t="s">
        <v>12</v>
      </c>
      <c r="E230" t="s">
        <v>322</v>
      </c>
      <c r="F230" t="s">
        <v>14</v>
      </c>
      <c r="G230">
        <v>100</v>
      </c>
      <c r="H230" s="1">
        <f>G230/121*21</f>
        <v>17.355371900826448</v>
      </c>
      <c r="J230" t="s">
        <v>323</v>
      </c>
      <c r="K230" t="s">
        <v>330</v>
      </c>
    </row>
    <row r="231" spans="1:11" x14ac:dyDescent="0.3">
      <c r="A231">
        <v>20260117</v>
      </c>
      <c r="B231" t="s">
        <v>23</v>
      </c>
      <c r="C231" t="s">
        <v>11</v>
      </c>
      <c r="E231" t="s">
        <v>24</v>
      </c>
      <c r="F231" t="s">
        <v>14</v>
      </c>
      <c r="G231">
        <v>28.98</v>
      </c>
      <c r="I231" s="1">
        <f t="shared" ref="I231" si="33">G231/109*9</f>
        <v>2.3928440366972481</v>
      </c>
      <c r="J231" t="s">
        <v>25</v>
      </c>
      <c r="K231" t="s">
        <v>331</v>
      </c>
    </row>
    <row r="232" spans="1:11" x14ac:dyDescent="0.3">
      <c r="A232">
        <v>20260116</v>
      </c>
      <c r="B232" t="s">
        <v>17</v>
      </c>
      <c r="C232" t="s">
        <v>11</v>
      </c>
      <c r="D232" t="s">
        <v>18</v>
      </c>
      <c r="E232" t="s">
        <v>19</v>
      </c>
      <c r="F232" t="s">
        <v>20</v>
      </c>
      <c r="G232">
        <v>541.71</v>
      </c>
      <c r="J232" t="s">
        <v>21</v>
      </c>
      <c r="K232" t="s">
        <v>332</v>
      </c>
    </row>
    <row r="233" spans="1:11" x14ac:dyDescent="0.3">
      <c r="A233">
        <v>20260116</v>
      </c>
      <c r="B233" t="s">
        <v>23</v>
      </c>
      <c r="C233" t="s">
        <v>11</v>
      </c>
      <c r="E233" t="s">
        <v>24</v>
      </c>
      <c r="F233" t="s">
        <v>14</v>
      </c>
      <c r="G233">
        <v>8.2799999999999994</v>
      </c>
      <c r="I233" s="1">
        <f t="shared" ref="I233:I236" si="34">G233/109*9</f>
        <v>0.68366972477064214</v>
      </c>
      <c r="J233" t="s">
        <v>25</v>
      </c>
      <c r="K233" t="s">
        <v>333</v>
      </c>
    </row>
    <row r="234" spans="1:11" x14ac:dyDescent="0.3">
      <c r="A234">
        <v>20260116</v>
      </c>
      <c r="B234" t="s">
        <v>17</v>
      </c>
      <c r="C234" t="s">
        <v>11</v>
      </c>
      <c r="D234" t="s">
        <v>18</v>
      </c>
      <c r="E234" t="s">
        <v>19</v>
      </c>
      <c r="F234" t="s">
        <v>20</v>
      </c>
      <c r="G234">
        <v>385.82</v>
      </c>
      <c r="J234" t="s">
        <v>21</v>
      </c>
      <c r="K234" t="s">
        <v>334</v>
      </c>
    </row>
    <row r="235" spans="1:11" x14ac:dyDescent="0.3">
      <c r="A235">
        <v>20260115</v>
      </c>
      <c r="B235" t="s">
        <v>335</v>
      </c>
      <c r="C235" t="s">
        <v>11</v>
      </c>
      <c r="D235" t="s">
        <v>12</v>
      </c>
      <c r="E235" t="s">
        <v>322</v>
      </c>
      <c r="F235" t="s">
        <v>14</v>
      </c>
      <c r="G235">
        <v>76.34</v>
      </c>
      <c r="I235" s="1">
        <f t="shared" si="34"/>
        <v>6.3033027522935781</v>
      </c>
      <c r="J235" t="s">
        <v>323</v>
      </c>
      <c r="K235" t="s">
        <v>336</v>
      </c>
    </row>
    <row r="236" spans="1:11" x14ac:dyDescent="0.3">
      <c r="A236">
        <v>20260115</v>
      </c>
      <c r="B236" t="s">
        <v>337</v>
      </c>
      <c r="C236" t="s">
        <v>11</v>
      </c>
      <c r="E236" t="s">
        <v>338</v>
      </c>
      <c r="F236" t="s">
        <v>14</v>
      </c>
      <c r="G236">
        <v>20</v>
      </c>
      <c r="I236" s="1">
        <f t="shared" si="34"/>
        <v>1.6513761467889909</v>
      </c>
      <c r="J236" t="s">
        <v>339</v>
      </c>
      <c r="K236" t="s">
        <v>340</v>
      </c>
    </row>
    <row r="237" spans="1:11" x14ac:dyDescent="0.3">
      <c r="A237">
        <v>20260115</v>
      </c>
      <c r="B237" t="s">
        <v>341</v>
      </c>
      <c r="C237" t="s">
        <v>11</v>
      </c>
      <c r="E237" t="s">
        <v>24</v>
      </c>
      <c r="F237" t="s">
        <v>14</v>
      </c>
      <c r="G237">
        <v>3.49</v>
      </c>
      <c r="H237" s="1">
        <f t="shared" ref="H237:H238" si="35">G237/121*21</f>
        <v>0.60570247933884303</v>
      </c>
      <c r="J237" t="s">
        <v>25</v>
      </c>
      <c r="K237" t="s">
        <v>342</v>
      </c>
    </row>
    <row r="238" spans="1:11" x14ac:dyDescent="0.3">
      <c r="A238">
        <v>20260115</v>
      </c>
      <c r="B238" t="s">
        <v>343</v>
      </c>
      <c r="C238" t="s">
        <v>11</v>
      </c>
      <c r="E238" t="s">
        <v>24</v>
      </c>
      <c r="F238" t="s">
        <v>14</v>
      </c>
      <c r="G238">
        <v>3.71</v>
      </c>
      <c r="H238" s="1">
        <f t="shared" si="35"/>
        <v>0.64388429752066112</v>
      </c>
      <c r="J238" t="s">
        <v>25</v>
      </c>
      <c r="K238" t="s">
        <v>344</v>
      </c>
    </row>
    <row r="239" spans="1:11" x14ac:dyDescent="0.3">
      <c r="A239">
        <v>20260115</v>
      </c>
      <c r="B239" t="s">
        <v>23</v>
      </c>
      <c r="C239" t="s">
        <v>11</v>
      </c>
      <c r="E239" t="s">
        <v>24</v>
      </c>
      <c r="F239" t="s">
        <v>14</v>
      </c>
      <c r="G239">
        <v>14.76</v>
      </c>
      <c r="I239" s="1">
        <f t="shared" ref="I239" si="36">G239/109*9</f>
        <v>1.2187155963302752</v>
      </c>
      <c r="J239" t="s">
        <v>25</v>
      </c>
      <c r="K239" t="s">
        <v>345</v>
      </c>
    </row>
    <row r="240" spans="1:11" x14ac:dyDescent="0.3">
      <c r="A240">
        <v>20260115</v>
      </c>
      <c r="B240" t="s">
        <v>346</v>
      </c>
      <c r="C240" t="s">
        <v>11</v>
      </c>
      <c r="D240" t="s">
        <v>347</v>
      </c>
      <c r="E240" t="s">
        <v>65</v>
      </c>
      <c r="F240" t="s">
        <v>20</v>
      </c>
      <c r="G240">
        <v>50</v>
      </c>
      <c r="J240" t="s">
        <v>66</v>
      </c>
      <c r="K240" t="s">
        <v>348</v>
      </c>
    </row>
    <row r="241" spans="1:11" x14ac:dyDescent="0.3">
      <c r="A241">
        <v>20260115</v>
      </c>
      <c r="B241" t="s">
        <v>17</v>
      </c>
      <c r="C241" t="s">
        <v>11</v>
      </c>
      <c r="D241" t="s">
        <v>18</v>
      </c>
      <c r="E241" t="s">
        <v>19</v>
      </c>
      <c r="F241" t="s">
        <v>20</v>
      </c>
      <c r="G241">
        <v>123.04</v>
      </c>
      <c r="J241" t="s">
        <v>21</v>
      </c>
      <c r="K241" t="s">
        <v>349</v>
      </c>
    </row>
    <row r="242" spans="1:11" x14ac:dyDescent="0.3">
      <c r="A242">
        <v>20260115</v>
      </c>
      <c r="B242" t="s">
        <v>88</v>
      </c>
      <c r="C242" t="s">
        <v>11</v>
      </c>
      <c r="D242" t="s">
        <v>89</v>
      </c>
      <c r="E242" t="s">
        <v>30</v>
      </c>
      <c r="F242" t="s">
        <v>14</v>
      </c>
      <c r="G242">
        <v>22.55</v>
      </c>
      <c r="J242" t="s">
        <v>31</v>
      </c>
      <c r="K242" t="s">
        <v>350</v>
      </c>
    </row>
    <row r="243" spans="1:11" x14ac:dyDescent="0.3">
      <c r="A243">
        <v>20260114</v>
      </c>
      <c r="B243" t="s">
        <v>351</v>
      </c>
      <c r="C243" t="s">
        <v>11</v>
      </c>
      <c r="D243" t="s">
        <v>352</v>
      </c>
      <c r="E243" t="s">
        <v>65</v>
      </c>
      <c r="F243" t="s">
        <v>14</v>
      </c>
      <c r="G243">
        <v>1596.96</v>
      </c>
      <c r="I243" s="1">
        <f t="shared" ref="I243:I245" si="37">G243/109*9</f>
        <v>131.85908256880734</v>
      </c>
      <c r="J243" t="s">
        <v>66</v>
      </c>
      <c r="K243" t="s">
        <v>353</v>
      </c>
    </row>
    <row r="244" spans="1:11" x14ac:dyDescent="0.3">
      <c r="A244">
        <v>20260114</v>
      </c>
      <c r="B244" t="s">
        <v>23</v>
      </c>
      <c r="C244" t="s">
        <v>11</v>
      </c>
      <c r="E244" t="s">
        <v>24</v>
      </c>
      <c r="F244" t="s">
        <v>14</v>
      </c>
      <c r="G244">
        <v>7.55</v>
      </c>
      <c r="I244" s="1">
        <f t="shared" si="37"/>
        <v>0.62339449541284409</v>
      </c>
      <c r="J244" t="s">
        <v>25</v>
      </c>
      <c r="K244" t="s">
        <v>354</v>
      </c>
    </row>
    <row r="245" spans="1:11" x14ac:dyDescent="0.3">
      <c r="A245">
        <v>20260114</v>
      </c>
      <c r="B245" t="s">
        <v>23</v>
      </c>
      <c r="C245" t="s">
        <v>11</v>
      </c>
      <c r="E245" t="s">
        <v>24</v>
      </c>
      <c r="F245" t="s">
        <v>14</v>
      </c>
      <c r="G245">
        <v>1.99</v>
      </c>
      <c r="I245" s="1">
        <f t="shared" si="37"/>
        <v>0.16431192660550459</v>
      </c>
      <c r="J245" t="s">
        <v>25</v>
      </c>
      <c r="K245" t="s">
        <v>355</v>
      </c>
    </row>
    <row r="246" spans="1:11" x14ac:dyDescent="0.3">
      <c r="A246">
        <v>20260114</v>
      </c>
      <c r="B246" t="s">
        <v>58</v>
      </c>
      <c r="C246" t="s">
        <v>11</v>
      </c>
      <c r="D246" t="s">
        <v>59</v>
      </c>
      <c r="E246" t="s">
        <v>30</v>
      </c>
      <c r="F246" t="s">
        <v>14</v>
      </c>
      <c r="G246">
        <v>352.08</v>
      </c>
      <c r="H246">
        <v>8.24</v>
      </c>
      <c r="I246">
        <v>29.2</v>
      </c>
      <c r="J246" t="s">
        <v>31</v>
      </c>
      <c r="K246" t="s">
        <v>356</v>
      </c>
    </row>
    <row r="247" spans="1:11" x14ac:dyDescent="0.3">
      <c r="A247">
        <v>20260113</v>
      </c>
      <c r="B247" t="s">
        <v>357</v>
      </c>
      <c r="C247" t="s">
        <v>11</v>
      </c>
      <c r="D247" t="s">
        <v>358</v>
      </c>
      <c r="E247" t="s">
        <v>19</v>
      </c>
      <c r="F247" t="s">
        <v>20</v>
      </c>
      <c r="G247">
        <v>6869.46</v>
      </c>
      <c r="J247" t="s">
        <v>21</v>
      </c>
      <c r="K247" t="s">
        <v>359</v>
      </c>
    </row>
    <row r="248" spans="1:11" x14ac:dyDescent="0.3">
      <c r="A248">
        <v>20260113</v>
      </c>
      <c r="B248" t="s">
        <v>23</v>
      </c>
      <c r="C248" t="s">
        <v>11</v>
      </c>
      <c r="E248" t="s">
        <v>24</v>
      </c>
      <c r="F248" t="s">
        <v>14</v>
      </c>
      <c r="G248">
        <v>26.81</v>
      </c>
      <c r="I248" s="1">
        <f t="shared" ref="I248:I253" si="38">G248/109*9</f>
        <v>2.2136697247706421</v>
      </c>
      <c r="J248" t="s">
        <v>25</v>
      </c>
      <c r="K248" t="s">
        <v>360</v>
      </c>
    </row>
    <row r="249" spans="1:11" x14ac:dyDescent="0.3">
      <c r="A249">
        <v>20260112</v>
      </c>
      <c r="B249" t="s">
        <v>23</v>
      </c>
      <c r="C249" t="s">
        <v>11</v>
      </c>
      <c r="E249" t="s">
        <v>24</v>
      </c>
      <c r="F249" t="s">
        <v>14</v>
      </c>
      <c r="G249">
        <v>24.03</v>
      </c>
      <c r="I249" s="1">
        <f t="shared" si="38"/>
        <v>1.9841284403669726</v>
      </c>
      <c r="J249" t="s">
        <v>25</v>
      </c>
      <c r="K249" t="s">
        <v>361</v>
      </c>
    </row>
    <row r="250" spans="1:11" x14ac:dyDescent="0.3">
      <c r="A250">
        <v>20260111</v>
      </c>
      <c r="B250" t="s">
        <v>23</v>
      </c>
      <c r="C250" t="s">
        <v>11</v>
      </c>
      <c r="E250" t="s">
        <v>24</v>
      </c>
      <c r="F250" t="s">
        <v>14</v>
      </c>
      <c r="G250">
        <v>45.72</v>
      </c>
      <c r="I250" s="1">
        <f t="shared" si="38"/>
        <v>3.7750458715596329</v>
      </c>
      <c r="J250" t="s">
        <v>25</v>
      </c>
      <c r="K250" t="s">
        <v>362</v>
      </c>
    </row>
    <row r="251" spans="1:11" x14ac:dyDescent="0.3">
      <c r="A251">
        <v>20260110</v>
      </c>
      <c r="B251" t="s">
        <v>23</v>
      </c>
      <c r="C251" t="s">
        <v>11</v>
      </c>
      <c r="E251" t="s">
        <v>24</v>
      </c>
      <c r="F251" t="s">
        <v>14</v>
      </c>
      <c r="G251">
        <v>1.99</v>
      </c>
      <c r="I251" s="1">
        <f t="shared" si="38"/>
        <v>0.16431192660550459</v>
      </c>
      <c r="J251" t="s">
        <v>25</v>
      </c>
      <c r="K251" t="s">
        <v>363</v>
      </c>
    </row>
    <row r="252" spans="1:11" x14ac:dyDescent="0.3">
      <c r="A252">
        <v>20260110</v>
      </c>
      <c r="B252" t="s">
        <v>23</v>
      </c>
      <c r="C252" t="s">
        <v>11</v>
      </c>
      <c r="E252" t="s">
        <v>24</v>
      </c>
      <c r="F252" t="s">
        <v>14</v>
      </c>
      <c r="G252">
        <v>33.47</v>
      </c>
      <c r="I252" s="1">
        <f t="shared" si="38"/>
        <v>2.7635779816513759</v>
      </c>
      <c r="J252" t="s">
        <v>25</v>
      </c>
      <c r="K252" t="s">
        <v>364</v>
      </c>
    </row>
    <row r="253" spans="1:11" x14ac:dyDescent="0.3">
      <c r="A253">
        <v>20260108</v>
      </c>
      <c r="B253" t="s">
        <v>23</v>
      </c>
      <c r="C253" t="s">
        <v>11</v>
      </c>
      <c r="E253" t="s">
        <v>24</v>
      </c>
      <c r="F253" t="s">
        <v>14</v>
      </c>
      <c r="G253">
        <v>13.11</v>
      </c>
      <c r="I253" s="1">
        <f t="shared" si="38"/>
        <v>1.0824770642201835</v>
      </c>
      <c r="J253" t="s">
        <v>25</v>
      </c>
      <c r="K253" t="s">
        <v>365</v>
      </c>
    </row>
    <row r="254" spans="1:11" x14ac:dyDescent="0.3">
      <c r="A254">
        <v>20260107</v>
      </c>
      <c r="B254" t="s">
        <v>119</v>
      </c>
      <c r="C254" t="s">
        <v>11</v>
      </c>
      <c r="D254" t="s">
        <v>120</v>
      </c>
      <c r="E254" t="s">
        <v>30</v>
      </c>
      <c r="F254" t="s">
        <v>14</v>
      </c>
      <c r="G254">
        <v>208.1</v>
      </c>
      <c r="H254" s="1">
        <f>G254/121*21</f>
        <v>36.116528925619832</v>
      </c>
      <c r="J254" t="s">
        <v>31</v>
      </c>
      <c r="K254" t="s">
        <v>366</v>
      </c>
    </row>
    <row r="255" spans="1:11" x14ac:dyDescent="0.3">
      <c r="A255">
        <v>20260107</v>
      </c>
      <c r="B255" t="s">
        <v>58</v>
      </c>
      <c r="C255" t="s">
        <v>11</v>
      </c>
      <c r="D255" t="s">
        <v>59</v>
      </c>
      <c r="E255" t="s">
        <v>30</v>
      </c>
      <c r="F255" t="s">
        <v>14</v>
      </c>
      <c r="G255">
        <v>637.54</v>
      </c>
      <c r="I255">
        <v>51.8</v>
      </c>
      <c r="J255" t="s">
        <v>31</v>
      </c>
      <c r="K255" t="s">
        <v>367</v>
      </c>
    </row>
    <row r="256" spans="1:11" x14ac:dyDescent="0.3">
      <c r="A256">
        <v>20260107</v>
      </c>
      <c r="B256" t="s">
        <v>52</v>
      </c>
      <c r="C256" t="s">
        <v>11</v>
      </c>
      <c r="D256" t="s">
        <v>53</v>
      </c>
      <c r="E256" t="s">
        <v>30</v>
      </c>
      <c r="F256" t="s">
        <v>14</v>
      </c>
      <c r="G256">
        <v>30.25</v>
      </c>
      <c r="H256" s="1">
        <f>G256/121*21</f>
        <v>5.25</v>
      </c>
      <c r="J256" t="s">
        <v>31</v>
      </c>
      <c r="K256" t="s">
        <v>368</v>
      </c>
    </row>
    <row r="257" spans="1:11" x14ac:dyDescent="0.3">
      <c r="A257">
        <v>20260106</v>
      </c>
      <c r="B257" t="s">
        <v>23</v>
      </c>
      <c r="C257" t="s">
        <v>11</v>
      </c>
      <c r="E257" t="s">
        <v>24</v>
      </c>
      <c r="F257" t="s">
        <v>14</v>
      </c>
      <c r="G257">
        <v>13.94</v>
      </c>
      <c r="I257" s="1">
        <f t="shared" ref="I257" si="39">G257/109*9</f>
        <v>1.1510091743119266</v>
      </c>
      <c r="J257" t="s">
        <v>25</v>
      </c>
      <c r="K257" t="s">
        <v>369</v>
      </c>
    </row>
    <row r="258" spans="1:11" x14ac:dyDescent="0.3">
      <c r="A258">
        <v>20260106</v>
      </c>
      <c r="B258" t="s">
        <v>58</v>
      </c>
      <c r="C258" t="s">
        <v>11</v>
      </c>
      <c r="D258" t="s">
        <v>59</v>
      </c>
      <c r="E258" t="s">
        <v>30</v>
      </c>
      <c r="F258" t="s">
        <v>14</v>
      </c>
      <c r="G258">
        <v>1189.54</v>
      </c>
      <c r="H258">
        <v>17.64</v>
      </c>
      <c r="I258">
        <v>127.57</v>
      </c>
      <c r="J258" t="s">
        <v>31</v>
      </c>
      <c r="K258" t="s">
        <v>370</v>
      </c>
    </row>
    <row r="259" spans="1:11" x14ac:dyDescent="0.3">
      <c r="A259">
        <v>20260106</v>
      </c>
      <c r="B259" t="s">
        <v>371</v>
      </c>
      <c r="C259" t="s">
        <v>11</v>
      </c>
      <c r="D259" t="s">
        <v>372</v>
      </c>
      <c r="E259" t="s">
        <v>322</v>
      </c>
      <c r="F259" t="s">
        <v>14</v>
      </c>
      <c r="G259">
        <v>774.54</v>
      </c>
      <c r="I259">
        <v>55.04</v>
      </c>
      <c r="J259" t="s">
        <v>323</v>
      </c>
      <c r="K259" t="s">
        <v>373</v>
      </c>
    </row>
    <row r="260" spans="1:11" x14ac:dyDescent="0.3">
      <c r="A260">
        <v>20260105</v>
      </c>
      <c r="B260" t="s">
        <v>374</v>
      </c>
      <c r="C260" t="s">
        <v>11</v>
      </c>
      <c r="D260" t="s">
        <v>375</v>
      </c>
      <c r="E260" t="s">
        <v>19</v>
      </c>
      <c r="F260" t="s">
        <v>20</v>
      </c>
      <c r="G260">
        <v>222.21</v>
      </c>
      <c r="J260" t="s">
        <v>21</v>
      </c>
      <c r="K260" t="s">
        <v>376</v>
      </c>
    </row>
    <row r="261" spans="1:11" x14ac:dyDescent="0.3">
      <c r="A261">
        <v>20260105</v>
      </c>
      <c r="B261" t="s">
        <v>23</v>
      </c>
      <c r="C261" t="s">
        <v>11</v>
      </c>
      <c r="E261" t="s">
        <v>24</v>
      </c>
      <c r="F261" t="s">
        <v>14</v>
      </c>
      <c r="G261">
        <v>12.58</v>
      </c>
      <c r="I261" s="1">
        <f t="shared" ref="I261:I265" si="40">G261/109*9</f>
        <v>1.0387155963302752</v>
      </c>
      <c r="J261" t="s">
        <v>25</v>
      </c>
      <c r="K261" t="s">
        <v>377</v>
      </c>
    </row>
    <row r="262" spans="1:11" x14ac:dyDescent="0.3">
      <c r="A262">
        <v>20260104</v>
      </c>
      <c r="B262" t="s">
        <v>23</v>
      </c>
      <c r="C262" t="s">
        <v>11</v>
      </c>
      <c r="E262" t="s">
        <v>24</v>
      </c>
      <c r="F262" t="s">
        <v>14</v>
      </c>
      <c r="G262">
        <v>11.67</v>
      </c>
      <c r="I262" s="1">
        <f t="shared" si="40"/>
        <v>0.9635779816513762</v>
      </c>
      <c r="J262" t="s">
        <v>25</v>
      </c>
      <c r="K262" t="s">
        <v>378</v>
      </c>
    </row>
    <row r="263" spans="1:11" x14ac:dyDescent="0.3">
      <c r="A263">
        <v>20260104</v>
      </c>
      <c r="B263" t="s">
        <v>23</v>
      </c>
      <c r="C263" t="s">
        <v>11</v>
      </c>
      <c r="E263" t="s">
        <v>24</v>
      </c>
      <c r="F263" t="s">
        <v>14</v>
      </c>
      <c r="G263">
        <v>19.57</v>
      </c>
      <c r="I263" s="1">
        <f t="shared" si="40"/>
        <v>1.6158715596330275</v>
      </c>
      <c r="J263" t="s">
        <v>25</v>
      </c>
      <c r="K263" t="s">
        <v>379</v>
      </c>
    </row>
    <row r="264" spans="1:11" x14ac:dyDescent="0.3">
      <c r="A264">
        <v>20260102</v>
      </c>
      <c r="B264" t="s">
        <v>374</v>
      </c>
      <c r="C264" t="s">
        <v>11</v>
      </c>
      <c r="D264" t="s">
        <v>375</v>
      </c>
      <c r="E264" t="s">
        <v>19</v>
      </c>
      <c r="F264" t="s">
        <v>20</v>
      </c>
      <c r="G264">
        <v>2648.82</v>
      </c>
      <c r="J264" t="s">
        <v>21</v>
      </c>
      <c r="K264" t="s">
        <v>380</v>
      </c>
    </row>
    <row r="265" spans="1:11" x14ac:dyDescent="0.3">
      <c r="A265">
        <v>20260101</v>
      </c>
      <c r="B265" t="s">
        <v>381</v>
      </c>
      <c r="C265" t="s">
        <v>11</v>
      </c>
      <c r="E265" t="s">
        <v>24</v>
      </c>
      <c r="F265" t="s">
        <v>14</v>
      </c>
      <c r="G265">
        <v>6.18</v>
      </c>
      <c r="I265" s="1">
        <f t="shared" si="40"/>
        <v>0.51027522935779812</v>
      </c>
      <c r="J265" t="s">
        <v>25</v>
      </c>
      <c r="K265" t="s">
        <v>382</v>
      </c>
    </row>
    <row r="266" spans="1:11" x14ac:dyDescent="0.3">
      <c r="H266" s="1">
        <f>SUM(H2:H265)</f>
        <v>4354.0974380165289</v>
      </c>
      <c r="I266" s="1">
        <f>SUM(I2:I265)</f>
        <v>1621.7492660550456</v>
      </c>
      <c r="J266" s="1"/>
      <c r="K266" s="1"/>
    </row>
    <row r="269" spans="1:11" x14ac:dyDescent="0.3">
      <c r="D269" t="s">
        <v>389</v>
      </c>
    </row>
    <row r="271" spans="1:11" x14ac:dyDescent="0.3">
      <c r="D271" t="s">
        <v>410</v>
      </c>
      <c r="E271">
        <v>77848.17</v>
      </c>
      <c r="F271" t="s">
        <v>390</v>
      </c>
      <c r="I271" t="s">
        <v>391</v>
      </c>
      <c r="K271" s="1">
        <f>E276</f>
        <v>6361.1121855963302</v>
      </c>
    </row>
    <row r="272" spans="1:11" x14ac:dyDescent="0.3">
      <c r="I272" t="s">
        <v>392</v>
      </c>
      <c r="K272" s="1">
        <f>E282</f>
        <v>5975.846704071575</v>
      </c>
    </row>
    <row r="273" spans="1:11" x14ac:dyDescent="0.3">
      <c r="D273" t="s">
        <v>393</v>
      </c>
      <c r="E273" s="1">
        <f>0.009*E271</f>
        <v>700.63352999999995</v>
      </c>
    </row>
    <row r="274" spans="1:11" x14ac:dyDescent="0.3">
      <c r="A274">
        <v>716</v>
      </c>
      <c r="B274" t="s">
        <v>394</v>
      </c>
      <c r="I274" t="s">
        <v>396</v>
      </c>
      <c r="K274" s="1">
        <f>K271-K272</f>
        <v>385.26548152475516</v>
      </c>
    </row>
    <row r="275" spans="1:11" x14ac:dyDescent="0.3">
      <c r="A275">
        <f>A274*0.15</f>
        <v>107.39999999999999</v>
      </c>
      <c r="B275" t="s">
        <v>397</v>
      </c>
      <c r="D275" t="s">
        <v>398</v>
      </c>
      <c r="E275">
        <f>E271-E273-A275</f>
        <v>77040.136469999998</v>
      </c>
    </row>
    <row r="276" spans="1:11" x14ac:dyDescent="0.3">
      <c r="D276" t="s">
        <v>399</v>
      </c>
      <c r="E276" s="1">
        <f>E275/109*9</f>
        <v>6361.1121855963302</v>
      </c>
      <c r="F276" s="1"/>
    </row>
    <row r="277" spans="1:11" x14ac:dyDescent="0.3">
      <c r="E277" s="4"/>
    </row>
    <row r="278" spans="1:11" x14ac:dyDescent="0.3">
      <c r="E278" s="5"/>
    </row>
    <row r="279" spans="1:11" x14ac:dyDescent="0.3">
      <c r="C279" t="s">
        <v>400</v>
      </c>
      <c r="D279" t="s">
        <v>395</v>
      </c>
      <c r="E279" s="5" t="s">
        <v>412</v>
      </c>
      <c r="F279" t="s">
        <v>400</v>
      </c>
    </row>
    <row r="280" spans="1:11" x14ac:dyDescent="0.3">
      <c r="C280" s="2">
        <v>0.21</v>
      </c>
      <c r="D280">
        <f>Contant!D5</f>
        <v>1526.77</v>
      </c>
      <c r="E280" s="1">
        <f>H266</f>
        <v>4354.0974380165289</v>
      </c>
      <c r="F280" s="1">
        <f>(E280+D280)/21*121</f>
        <v>33884.998095238094</v>
      </c>
      <c r="G280" t="s">
        <v>411</v>
      </c>
    </row>
    <row r="281" spans="1:11" x14ac:dyDescent="0.3">
      <c r="C281" s="2">
        <v>0.09</v>
      </c>
      <c r="D281">
        <f>Contant!E5</f>
        <v>41.39</v>
      </c>
      <c r="E281" s="1">
        <f>I266</f>
        <v>1621.7492660550456</v>
      </c>
      <c r="F281" s="1">
        <f>(E281+D281)/9*109</f>
        <v>20142.464444444442</v>
      </c>
      <c r="G281" t="s">
        <v>401</v>
      </c>
    </row>
    <row r="282" spans="1:11" x14ac:dyDescent="0.3">
      <c r="D282" s="2"/>
      <c r="E282" s="1">
        <f>SUM(E280:E281)</f>
        <v>5975.846704071575</v>
      </c>
      <c r="F282" s="1">
        <f>SUM(F280:F281)</f>
        <v>54027.462539682536</v>
      </c>
      <c r="G282" s="1">
        <f>F282-E282</f>
        <v>48051.615835610959</v>
      </c>
    </row>
    <row r="283" spans="1:11" x14ac:dyDescent="0.3">
      <c r="E283" s="5"/>
    </row>
    <row r="284" spans="1:11" x14ac:dyDescent="0.3">
      <c r="D284" t="s">
        <v>402</v>
      </c>
      <c r="E284">
        <v>11231</v>
      </c>
    </row>
    <row r="285" spans="1:11" x14ac:dyDescent="0.3">
      <c r="D285" t="s">
        <v>403</v>
      </c>
      <c r="E285">
        <v>1466</v>
      </c>
    </row>
    <row r="286" spans="1:11" x14ac:dyDescent="0.3">
      <c r="D286" t="s">
        <v>404</v>
      </c>
      <c r="E286">
        <v>2643</v>
      </c>
      <c r="J286" t="s">
        <v>405</v>
      </c>
      <c r="K286" s="1">
        <f>E275/1.09</f>
        <v>70679.024284403669</v>
      </c>
    </row>
    <row r="287" spans="1:11" x14ac:dyDescent="0.3">
      <c r="D287" t="s">
        <v>406</v>
      </c>
      <c r="E287">
        <v>192</v>
      </c>
      <c r="J287" t="s">
        <v>407</v>
      </c>
      <c r="K287" s="1">
        <f>F280/1.21+F281/1.09+E284+E285+E286+E287+E288</f>
        <v>62083.105835610964</v>
      </c>
    </row>
    <row r="288" spans="1:11" x14ac:dyDescent="0.3">
      <c r="D288" t="s">
        <v>408</v>
      </c>
      <c r="E288">
        <v>67.650000000000006</v>
      </c>
      <c r="J288" t="s">
        <v>409</v>
      </c>
      <c r="K288" s="1">
        <f>K286-K287</f>
        <v>8595.918448792705</v>
      </c>
    </row>
    <row r="290" spans="4:5" x14ac:dyDescent="0.3">
      <c r="D290" t="s">
        <v>409</v>
      </c>
      <c r="E290" s="1">
        <f>E275-E276-F280/1.21-F281/1.09-E284-E286-E288-E287-E285</f>
        <v>8595.9184487927068</v>
      </c>
    </row>
  </sheetData>
  <autoFilter ref="A1:L266" xr:uid="{8C2DCF16-5FF8-40A5-9ACC-36DAEFE1E6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CBE4-D41C-4DE8-B980-C62B041D6970}">
  <dimension ref="A1:E5"/>
  <sheetViews>
    <sheetView workbookViewId="0">
      <selection activeCell="A3" sqref="A3:E3"/>
    </sheetView>
  </sheetViews>
  <sheetFormatPr defaultRowHeight="14.4" x14ac:dyDescent="0.3"/>
  <cols>
    <col min="1" max="1" width="9.33203125" bestFit="1" customWidth="1"/>
  </cols>
  <sheetData>
    <row r="1" spans="1:5" x14ac:dyDescent="0.3">
      <c r="A1" t="s">
        <v>385</v>
      </c>
      <c r="B1" t="s">
        <v>386</v>
      </c>
      <c r="C1" t="s">
        <v>387</v>
      </c>
      <c r="D1" s="2" t="s">
        <v>383</v>
      </c>
      <c r="E1" s="2" t="s">
        <v>384</v>
      </c>
    </row>
    <row r="2" spans="1:5" x14ac:dyDescent="0.3">
      <c r="A2" s="3">
        <v>46095</v>
      </c>
      <c r="B2" t="s">
        <v>388</v>
      </c>
      <c r="C2">
        <v>471.46</v>
      </c>
      <c r="D2">
        <v>4.2699999999999996</v>
      </c>
      <c r="E2">
        <v>36.9</v>
      </c>
    </row>
    <row r="3" spans="1:5" x14ac:dyDescent="0.3">
      <c r="A3" t="s">
        <v>413</v>
      </c>
      <c r="B3" t="s">
        <v>414</v>
      </c>
      <c r="C3">
        <v>8772.5</v>
      </c>
      <c r="D3" s="1">
        <f>C3/121*21</f>
        <v>1522.5</v>
      </c>
      <c r="E3" s="1"/>
    </row>
    <row r="4" spans="1:5" x14ac:dyDescent="0.3">
      <c r="A4" s="3">
        <v>46106</v>
      </c>
      <c r="B4" t="s">
        <v>388</v>
      </c>
      <c r="C4">
        <v>54.39</v>
      </c>
      <c r="E4">
        <v>4.49</v>
      </c>
    </row>
    <row r="5" spans="1:5" x14ac:dyDescent="0.3">
      <c r="C5">
        <f>SUM(C2:C4)</f>
        <v>9298.3499999999985</v>
      </c>
      <c r="D5">
        <f>SUM(D2:D4)</f>
        <v>1526.77</v>
      </c>
      <c r="E5">
        <f>SUM(E2:E4)</f>
        <v>41.39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NL65INGB0100914934_01-01-2026_3</vt:lpstr>
      <vt:lpstr>Contant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Matthieu Petit</cp:lastModifiedBy>
  <dcterms:created xsi:type="dcterms:W3CDTF">2026-04-08T09:24:05Z</dcterms:created>
  <dcterms:modified xsi:type="dcterms:W3CDTF">2026-04-15T13:26:45Z</dcterms:modified>
</cp:coreProperties>
</file>